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KORJO TIRTO\2026\"/>
    </mc:Choice>
  </mc:AlternateContent>
  <xr:revisionPtr revIDLastSave="0" documentId="13_ncr:1_{F15B5C24-DE41-4CE4-96CF-CF76CC9F944C}" xr6:coauthVersionLast="47" xr6:coauthVersionMax="47" xr10:uidLastSave="{00000000-0000-0000-0000-000000000000}"/>
  <bookViews>
    <workbookView xWindow="-120" yWindow="-120" windowWidth="20730" windowHeight="11160" xr2:uid="{86ED6ACE-4E01-46D1-A15F-8BD47F8BAAA7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2" i="1" l="1"/>
  <c r="E152" i="1"/>
  <c r="G152" i="1" s="1"/>
  <c r="J152" i="1" s="1"/>
  <c r="I151" i="1"/>
  <c r="G151" i="1"/>
  <c r="J151" i="1" s="1"/>
  <c r="E151" i="1"/>
  <c r="I150" i="1"/>
  <c r="G150" i="1"/>
  <c r="J150" i="1" s="1"/>
  <c r="K150" i="1" s="1"/>
  <c r="E150" i="1"/>
  <c r="I149" i="1"/>
  <c r="E149" i="1"/>
  <c r="G149" i="1" s="1"/>
  <c r="J149" i="1" s="1"/>
  <c r="I148" i="1"/>
  <c r="E148" i="1"/>
  <c r="G148" i="1" s="1"/>
  <c r="J148" i="1" s="1"/>
  <c r="I147" i="1"/>
  <c r="E147" i="1"/>
  <c r="G147" i="1" s="1"/>
  <c r="J147" i="1" s="1"/>
  <c r="I146" i="1"/>
  <c r="G146" i="1"/>
  <c r="J146" i="1" s="1"/>
  <c r="E146" i="1"/>
  <c r="J145" i="1"/>
  <c r="I145" i="1"/>
  <c r="K145" i="1" s="1"/>
  <c r="G145" i="1"/>
  <c r="E145" i="1"/>
  <c r="I144" i="1"/>
  <c r="E144" i="1"/>
  <c r="G144" i="1" s="1"/>
  <c r="J144" i="1" s="1"/>
  <c r="K144" i="1" s="1"/>
  <c r="I143" i="1"/>
  <c r="G143" i="1"/>
  <c r="J143" i="1" s="1"/>
  <c r="K143" i="1" s="1"/>
  <c r="E143" i="1"/>
  <c r="I142" i="1"/>
  <c r="K142" i="1" s="1"/>
  <c r="G142" i="1"/>
  <c r="J142" i="1" s="1"/>
  <c r="E142" i="1"/>
  <c r="I141" i="1"/>
  <c r="E141" i="1"/>
  <c r="G141" i="1" s="1"/>
  <c r="J141" i="1" s="1"/>
  <c r="I140" i="1"/>
  <c r="E140" i="1"/>
  <c r="G140" i="1" s="1"/>
  <c r="J140" i="1" s="1"/>
  <c r="K140" i="1" s="1"/>
  <c r="I139" i="1"/>
  <c r="K139" i="1" s="1"/>
  <c r="E139" i="1"/>
  <c r="G139" i="1" s="1"/>
  <c r="J139" i="1" s="1"/>
  <c r="I138" i="1"/>
  <c r="G138" i="1"/>
  <c r="J138" i="1" s="1"/>
  <c r="E138" i="1"/>
  <c r="J137" i="1"/>
  <c r="I137" i="1"/>
  <c r="K137" i="1" s="1"/>
  <c r="G137" i="1"/>
  <c r="E137" i="1"/>
  <c r="I136" i="1"/>
  <c r="E136" i="1"/>
  <c r="G136" i="1" s="1"/>
  <c r="J136" i="1" s="1"/>
  <c r="K136" i="1" s="1"/>
  <c r="I135" i="1"/>
  <c r="G135" i="1"/>
  <c r="J135" i="1" s="1"/>
  <c r="K135" i="1" s="1"/>
  <c r="E135" i="1"/>
  <c r="I134" i="1"/>
  <c r="K134" i="1" s="1"/>
  <c r="G134" i="1"/>
  <c r="J134" i="1" s="1"/>
  <c r="E134" i="1"/>
  <c r="I133" i="1"/>
  <c r="E133" i="1"/>
  <c r="G133" i="1" s="1"/>
  <c r="J133" i="1" s="1"/>
  <c r="I132" i="1"/>
  <c r="E132" i="1"/>
  <c r="G132" i="1" s="1"/>
  <c r="J132" i="1" s="1"/>
  <c r="K132" i="1" s="1"/>
  <c r="I131" i="1"/>
  <c r="E131" i="1"/>
  <c r="G131" i="1" s="1"/>
  <c r="J131" i="1" s="1"/>
  <c r="I130" i="1"/>
  <c r="K130" i="1" s="1"/>
  <c r="G130" i="1"/>
  <c r="J130" i="1" s="1"/>
  <c r="E130" i="1"/>
  <c r="J129" i="1"/>
  <c r="I129" i="1"/>
  <c r="K129" i="1" s="1"/>
  <c r="G129" i="1"/>
  <c r="E129" i="1"/>
  <c r="I128" i="1"/>
  <c r="E128" i="1"/>
  <c r="G128" i="1" s="1"/>
  <c r="J128" i="1" s="1"/>
  <c r="K128" i="1" s="1"/>
  <c r="I127" i="1"/>
  <c r="G127" i="1"/>
  <c r="J127" i="1" s="1"/>
  <c r="K127" i="1" s="1"/>
  <c r="E127" i="1"/>
  <c r="I126" i="1"/>
  <c r="G126" i="1"/>
  <c r="J126" i="1" s="1"/>
  <c r="E126" i="1"/>
  <c r="I125" i="1"/>
  <c r="K125" i="1" s="1"/>
  <c r="E125" i="1"/>
  <c r="G125" i="1" s="1"/>
  <c r="J125" i="1" s="1"/>
  <c r="I124" i="1"/>
  <c r="E124" i="1"/>
  <c r="G124" i="1" s="1"/>
  <c r="J124" i="1" s="1"/>
  <c r="K124" i="1" s="1"/>
  <c r="I123" i="1"/>
  <c r="E123" i="1"/>
  <c r="G123" i="1" s="1"/>
  <c r="J123" i="1" s="1"/>
  <c r="I122" i="1"/>
  <c r="G122" i="1"/>
  <c r="J122" i="1" s="1"/>
  <c r="E122" i="1"/>
  <c r="J121" i="1"/>
  <c r="I121" i="1"/>
  <c r="K121" i="1" s="1"/>
  <c r="G121" i="1"/>
  <c r="E121" i="1"/>
  <c r="E120" i="1"/>
  <c r="G120" i="1" s="1"/>
  <c r="I119" i="1"/>
  <c r="E119" i="1"/>
  <c r="G119" i="1" s="1"/>
  <c r="J119" i="1" s="1"/>
  <c r="K119" i="1" s="1"/>
  <c r="I118" i="1"/>
  <c r="K118" i="1" s="1"/>
  <c r="E118" i="1"/>
  <c r="G118" i="1" s="1"/>
  <c r="J118" i="1" s="1"/>
  <c r="I117" i="1"/>
  <c r="G117" i="1"/>
  <c r="J117" i="1" s="1"/>
  <c r="E117" i="1"/>
  <c r="J116" i="1"/>
  <c r="I116" i="1"/>
  <c r="K116" i="1" s="1"/>
  <c r="G116" i="1"/>
  <c r="E116" i="1"/>
  <c r="I115" i="1"/>
  <c r="E115" i="1"/>
  <c r="G115" i="1" s="1"/>
  <c r="J115" i="1" s="1"/>
  <c r="K115" i="1" s="1"/>
  <c r="I114" i="1"/>
  <c r="G114" i="1"/>
  <c r="J114" i="1" s="1"/>
  <c r="K114" i="1" s="1"/>
  <c r="E114" i="1"/>
  <c r="I113" i="1"/>
  <c r="G113" i="1"/>
  <c r="J113" i="1" s="1"/>
  <c r="E113" i="1"/>
  <c r="I112" i="1"/>
  <c r="K112" i="1" s="1"/>
  <c r="E112" i="1"/>
  <c r="G112" i="1" s="1"/>
  <c r="J112" i="1" s="1"/>
  <c r="I111" i="1"/>
  <c r="E111" i="1"/>
  <c r="G111" i="1" s="1"/>
  <c r="J111" i="1" s="1"/>
  <c r="K111" i="1" s="1"/>
  <c r="I110" i="1"/>
  <c r="E110" i="1"/>
  <c r="G110" i="1" s="1"/>
  <c r="J110" i="1" s="1"/>
  <c r="I109" i="1"/>
  <c r="G109" i="1"/>
  <c r="J109" i="1" s="1"/>
  <c r="E109" i="1"/>
  <c r="J108" i="1"/>
  <c r="I108" i="1"/>
  <c r="K108" i="1" s="1"/>
  <c r="G108" i="1"/>
  <c r="E108" i="1"/>
  <c r="I107" i="1"/>
  <c r="E107" i="1"/>
  <c r="G107" i="1" s="1"/>
  <c r="J107" i="1" s="1"/>
  <c r="K107" i="1" s="1"/>
  <c r="I106" i="1"/>
  <c r="G106" i="1"/>
  <c r="J106" i="1" s="1"/>
  <c r="K106" i="1" s="1"/>
  <c r="E106" i="1"/>
  <c r="I105" i="1"/>
  <c r="G105" i="1"/>
  <c r="J105" i="1" s="1"/>
  <c r="E105" i="1"/>
  <c r="I104" i="1"/>
  <c r="E104" i="1"/>
  <c r="G104" i="1" s="1"/>
  <c r="J104" i="1" s="1"/>
  <c r="I103" i="1"/>
  <c r="E103" i="1"/>
  <c r="G103" i="1" s="1"/>
  <c r="J103" i="1" s="1"/>
  <c r="K103" i="1" s="1"/>
  <c r="I102" i="1"/>
  <c r="K102" i="1" s="1"/>
  <c r="E102" i="1"/>
  <c r="G102" i="1" s="1"/>
  <c r="J102" i="1" s="1"/>
  <c r="I101" i="1"/>
  <c r="G101" i="1"/>
  <c r="J101" i="1" s="1"/>
  <c r="E101" i="1"/>
  <c r="J100" i="1"/>
  <c r="I100" i="1"/>
  <c r="K100" i="1" s="1"/>
  <c r="G100" i="1"/>
  <c r="E100" i="1"/>
  <c r="I99" i="1"/>
  <c r="E99" i="1"/>
  <c r="G99" i="1" s="1"/>
  <c r="J99" i="1" s="1"/>
  <c r="K99" i="1" s="1"/>
  <c r="I98" i="1"/>
  <c r="G98" i="1"/>
  <c r="J98" i="1" s="1"/>
  <c r="K98" i="1" s="1"/>
  <c r="E98" i="1"/>
  <c r="I97" i="1"/>
  <c r="K97" i="1" s="1"/>
  <c r="G97" i="1"/>
  <c r="J97" i="1" s="1"/>
  <c r="E97" i="1"/>
  <c r="I96" i="1"/>
  <c r="E96" i="1"/>
  <c r="G96" i="1" s="1"/>
  <c r="J96" i="1" s="1"/>
  <c r="I95" i="1"/>
  <c r="E95" i="1"/>
  <c r="G95" i="1" s="1"/>
  <c r="J95" i="1" s="1"/>
  <c r="K95" i="1" s="1"/>
  <c r="I94" i="1"/>
  <c r="E94" i="1"/>
  <c r="G94" i="1" s="1"/>
  <c r="J94" i="1" s="1"/>
  <c r="I93" i="1"/>
  <c r="K93" i="1" s="1"/>
  <c r="G93" i="1"/>
  <c r="J93" i="1" s="1"/>
  <c r="E93" i="1"/>
  <c r="J92" i="1"/>
  <c r="I92" i="1"/>
  <c r="K92" i="1" s="1"/>
  <c r="G92" i="1"/>
  <c r="E92" i="1"/>
  <c r="I91" i="1"/>
  <c r="E91" i="1"/>
  <c r="G91" i="1" s="1"/>
  <c r="J91" i="1" s="1"/>
  <c r="K91" i="1" s="1"/>
  <c r="I90" i="1"/>
  <c r="G90" i="1"/>
  <c r="J90" i="1" s="1"/>
  <c r="K90" i="1" s="1"/>
  <c r="E90" i="1"/>
  <c r="I89" i="1"/>
  <c r="G89" i="1"/>
  <c r="J89" i="1" s="1"/>
  <c r="E89" i="1"/>
  <c r="I88" i="1"/>
  <c r="K88" i="1" s="1"/>
  <c r="E88" i="1"/>
  <c r="G88" i="1" s="1"/>
  <c r="J88" i="1" s="1"/>
  <c r="I87" i="1"/>
  <c r="E87" i="1"/>
  <c r="G87" i="1" s="1"/>
  <c r="J87" i="1" s="1"/>
  <c r="K87" i="1" s="1"/>
  <c r="I86" i="1"/>
  <c r="E86" i="1"/>
  <c r="G86" i="1" s="1"/>
  <c r="J86" i="1" s="1"/>
  <c r="I85" i="1"/>
  <c r="G85" i="1"/>
  <c r="J85" i="1" s="1"/>
  <c r="E85" i="1"/>
  <c r="J84" i="1"/>
  <c r="I84" i="1"/>
  <c r="K84" i="1" s="1"/>
  <c r="G84" i="1"/>
  <c r="E84" i="1"/>
  <c r="I83" i="1"/>
  <c r="E83" i="1"/>
  <c r="G83" i="1" s="1"/>
  <c r="J83" i="1" s="1"/>
  <c r="K83" i="1" s="1"/>
  <c r="I82" i="1"/>
  <c r="G82" i="1"/>
  <c r="J82" i="1" s="1"/>
  <c r="K82" i="1" s="1"/>
  <c r="E82" i="1"/>
  <c r="I81" i="1"/>
  <c r="G81" i="1"/>
  <c r="J81" i="1" s="1"/>
  <c r="E81" i="1"/>
  <c r="I80" i="1"/>
  <c r="E80" i="1"/>
  <c r="G80" i="1" s="1"/>
  <c r="J80" i="1" s="1"/>
  <c r="I79" i="1"/>
  <c r="E79" i="1"/>
  <c r="G79" i="1" s="1"/>
  <c r="J79" i="1" s="1"/>
  <c r="K79" i="1" s="1"/>
  <c r="I78" i="1"/>
  <c r="K78" i="1" s="1"/>
  <c r="E78" i="1"/>
  <c r="G78" i="1" s="1"/>
  <c r="J78" i="1" s="1"/>
  <c r="I77" i="1"/>
  <c r="K77" i="1" s="1"/>
  <c r="G77" i="1"/>
  <c r="J77" i="1" s="1"/>
  <c r="E77" i="1"/>
  <c r="J76" i="1"/>
  <c r="I76" i="1"/>
  <c r="K76" i="1" s="1"/>
  <c r="G76" i="1"/>
  <c r="E76" i="1"/>
  <c r="I75" i="1"/>
  <c r="E75" i="1"/>
  <c r="G75" i="1" s="1"/>
  <c r="J75" i="1" s="1"/>
  <c r="K75" i="1" s="1"/>
  <c r="I74" i="1"/>
  <c r="G74" i="1"/>
  <c r="J74" i="1" s="1"/>
  <c r="K74" i="1" s="1"/>
  <c r="E74" i="1"/>
  <c r="I73" i="1"/>
  <c r="G73" i="1"/>
  <c r="J73" i="1" s="1"/>
  <c r="E73" i="1"/>
  <c r="I72" i="1"/>
  <c r="E72" i="1"/>
  <c r="G72" i="1" s="1"/>
  <c r="J72" i="1" s="1"/>
  <c r="I71" i="1"/>
  <c r="E71" i="1"/>
  <c r="G71" i="1" s="1"/>
  <c r="J71" i="1" s="1"/>
  <c r="K71" i="1" s="1"/>
  <c r="I70" i="1"/>
  <c r="E70" i="1"/>
  <c r="G70" i="1" s="1"/>
  <c r="J70" i="1" s="1"/>
  <c r="I69" i="1"/>
  <c r="K69" i="1" s="1"/>
  <c r="G69" i="1"/>
  <c r="J69" i="1" s="1"/>
  <c r="E69" i="1"/>
  <c r="J68" i="1"/>
  <c r="I68" i="1"/>
  <c r="K68" i="1" s="1"/>
  <c r="G68" i="1"/>
  <c r="E68" i="1"/>
  <c r="I67" i="1"/>
  <c r="E67" i="1"/>
  <c r="G67" i="1" s="1"/>
  <c r="J67" i="1" s="1"/>
  <c r="K67" i="1" s="1"/>
  <c r="I66" i="1"/>
  <c r="G66" i="1"/>
  <c r="J66" i="1" s="1"/>
  <c r="K66" i="1" s="1"/>
  <c r="E66" i="1"/>
  <c r="I65" i="1"/>
  <c r="G65" i="1"/>
  <c r="J65" i="1" s="1"/>
  <c r="E65" i="1"/>
  <c r="I64" i="1"/>
  <c r="E64" i="1"/>
  <c r="G64" i="1" s="1"/>
  <c r="J64" i="1" s="1"/>
  <c r="I63" i="1"/>
  <c r="E63" i="1"/>
  <c r="G63" i="1" s="1"/>
  <c r="J63" i="1" s="1"/>
  <c r="K63" i="1" s="1"/>
  <c r="I62" i="1"/>
  <c r="K62" i="1" s="1"/>
  <c r="E62" i="1"/>
  <c r="G62" i="1" s="1"/>
  <c r="J62" i="1" s="1"/>
  <c r="I61" i="1"/>
  <c r="G61" i="1"/>
  <c r="J61" i="1" s="1"/>
  <c r="E61" i="1"/>
  <c r="J60" i="1"/>
  <c r="I60" i="1"/>
  <c r="K60" i="1" s="1"/>
  <c r="G60" i="1"/>
  <c r="E60" i="1"/>
  <c r="I59" i="1"/>
  <c r="E59" i="1"/>
  <c r="G59" i="1" s="1"/>
  <c r="J59" i="1" s="1"/>
  <c r="K59" i="1" s="1"/>
  <c r="I58" i="1"/>
  <c r="G58" i="1"/>
  <c r="J58" i="1" s="1"/>
  <c r="K58" i="1" s="1"/>
  <c r="E58" i="1"/>
  <c r="I57" i="1"/>
  <c r="K57" i="1" s="1"/>
  <c r="G57" i="1"/>
  <c r="J57" i="1" s="1"/>
  <c r="E57" i="1"/>
  <c r="I56" i="1"/>
  <c r="E56" i="1"/>
  <c r="G56" i="1" s="1"/>
  <c r="J56" i="1" s="1"/>
  <c r="I55" i="1"/>
  <c r="E55" i="1"/>
  <c r="G55" i="1" s="1"/>
  <c r="J55" i="1" s="1"/>
  <c r="K55" i="1" s="1"/>
  <c r="I54" i="1"/>
  <c r="K54" i="1" s="1"/>
  <c r="E54" i="1"/>
  <c r="G54" i="1" s="1"/>
  <c r="J54" i="1" s="1"/>
  <c r="I53" i="1"/>
  <c r="K53" i="1" s="1"/>
  <c r="G53" i="1"/>
  <c r="J53" i="1" s="1"/>
  <c r="E53" i="1"/>
  <c r="J52" i="1"/>
  <c r="I52" i="1"/>
  <c r="K52" i="1" s="1"/>
  <c r="G52" i="1"/>
  <c r="E52" i="1"/>
  <c r="I51" i="1"/>
  <c r="E51" i="1"/>
  <c r="G51" i="1" s="1"/>
  <c r="J51" i="1" s="1"/>
  <c r="K51" i="1" s="1"/>
  <c r="I50" i="1"/>
  <c r="G50" i="1"/>
  <c r="J50" i="1" s="1"/>
  <c r="K50" i="1" s="1"/>
  <c r="E50" i="1"/>
  <c r="I49" i="1"/>
  <c r="G49" i="1"/>
  <c r="J49" i="1" s="1"/>
  <c r="E49" i="1"/>
  <c r="I48" i="1"/>
  <c r="K48" i="1" s="1"/>
  <c r="E48" i="1"/>
  <c r="G48" i="1" s="1"/>
  <c r="J48" i="1" s="1"/>
  <c r="I47" i="1"/>
  <c r="E47" i="1"/>
  <c r="G47" i="1" s="1"/>
  <c r="J47" i="1" s="1"/>
  <c r="K47" i="1" s="1"/>
  <c r="I46" i="1"/>
  <c r="E46" i="1"/>
  <c r="G46" i="1" s="1"/>
  <c r="J46" i="1" s="1"/>
  <c r="I45" i="1"/>
  <c r="G45" i="1"/>
  <c r="J45" i="1" s="1"/>
  <c r="E45" i="1"/>
  <c r="J44" i="1"/>
  <c r="I44" i="1"/>
  <c r="K44" i="1" s="1"/>
  <c r="G44" i="1"/>
  <c r="E44" i="1"/>
  <c r="I43" i="1"/>
  <c r="E43" i="1"/>
  <c r="G43" i="1" s="1"/>
  <c r="J43" i="1" s="1"/>
  <c r="K43" i="1" s="1"/>
  <c r="I42" i="1"/>
  <c r="G42" i="1"/>
  <c r="J42" i="1" s="1"/>
  <c r="K42" i="1" s="1"/>
  <c r="E42" i="1"/>
  <c r="E41" i="1"/>
  <c r="G41" i="1" s="1"/>
  <c r="I40" i="1"/>
  <c r="E40" i="1"/>
  <c r="G40" i="1" s="1"/>
  <c r="J40" i="1" s="1"/>
  <c r="K40" i="1" s="1"/>
  <c r="I39" i="1"/>
  <c r="E39" i="1"/>
  <c r="G39" i="1" s="1"/>
  <c r="J39" i="1" s="1"/>
  <c r="I38" i="1"/>
  <c r="K38" i="1" s="1"/>
  <c r="G38" i="1"/>
  <c r="J38" i="1" s="1"/>
  <c r="E38" i="1"/>
  <c r="J37" i="1"/>
  <c r="I37" i="1"/>
  <c r="K37" i="1" s="1"/>
  <c r="G37" i="1"/>
  <c r="E37" i="1"/>
  <c r="I36" i="1"/>
  <c r="E36" i="1"/>
  <c r="G36" i="1" s="1"/>
  <c r="J36" i="1" s="1"/>
  <c r="K36" i="1" s="1"/>
  <c r="I35" i="1"/>
  <c r="G35" i="1"/>
  <c r="J35" i="1" s="1"/>
  <c r="K35" i="1" s="1"/>
  <c r="E35" i="1"/>
  <c r="I34" i="1"/>
  <c r="G34" i="1"/>
  <c r="J34" i="1" s="1"/>
  <c r="E34" i="1"/>
  <c r="I33" i="1"/>
  <c r="E33" i="1"/>
  <c r="G33" i="1" s="1"/>
  <c r="J33" i="1" s="1"/>
  <c r="I32" i="1"/>
  <c r="E32" i="1"/>
  <c r="G32" i="1" s="1"/>
  <c r="J32" i="1" s="1"/>
  <c r="K32" i="1" s="1"/>
  <c r="I31" i="1"/>
  <c r="E31" i="1"/>
  <c r="G31" i="1" s="1"/>
  <c r="J31" i="1" s="1"/>
  <c r="I30" i="1"/>
  <c r="G30" i="1"/>
  <c r="J30" i="1" s="1"/>
  <c r="E30" i="1"/>
  <c r="J29" i="1"/>
  <c r="I29" i="1"/>
  <c r="K29" i="1" s="1"/>
  <c r="G29" i="1"/>
  <c r="E29" i="1"/>
  <c r="I28" i="1"/>
  <c r="E28" i="1"/>
  <c r="G28" i="1" s="1"/>
  <c r="J28" i="1" s="1"/>
  <c r="K28" i="1" s="1"/>
  <c r="I27" i="1"/>
  <c r="G27" i="1"/>
  <c r="J27" i="1" s="1"/>
  <c r="K27" i="1" s="1"/>
  <c r="E27" i="1"/>
  <c r="I26" i="1"/>
  <c r="K26" i="1" s="1"/>
  <c r="G26" i="1"/>
  <c r="J26" i="1" s="1"/>
  <c r="E26" i="1"/>
  <c r="I25" i="1"/>
  <c r="E25" i="1"/>
  <c r="G25" i="1" s="1"/>
  <c r="J25" i="1" s="1"/>
  <c r="I24" i="1"/>
  <c r="E24" i="1"/>
  <c r="G24" i="1" s="1"/>
  <c r="J24" i="1" s="1"/>
  <c r="K24" i="1" s="1"/>
  <c r="G23" i="1"/>
  <c r="E23" i="1"/>
  <c r="J22" i="1"/>
  <c r="I22" i="1"/>
  <c r="K22" i="1" s="1"/>
  <c r="G22" i="1"/>
  <c r="E22" i="1"/>
  <c r="I21" i="1"/>
  <c r="E21" i="1"/>
  <c r="G21" i="1" s="1"/>
  <c r="J21" i="1" s="1"/>
  <c r="K21" i="1" s="1"/>
  <c r="I20" i="1"/>
  <c r="G20" i="1"/>
  <c r="J20" i="1" s="1"/>
  <c r="K20" i="1" s="1"/>
  <c r="E20" i="1"/>
  <c r="I19" i="1"/>
  <c r="G19" i="1"/>
  <c r="J19" i="1" s="1"/>
  <c r="E19" i="1"/>
  <c r="I18" i="1"/>
  <c r="E18" i="1"/>
  <c r="G18" i="1" s="1"/>
  <c r="J18" i="1" s="1"/>
  <c r="I17" i="1"/>
  <c r="E17" i="1"/>
  <c r="G17" i="1" s="1"/>
  <c r="J17" i="1" s="1"/>
  <c r="K17" i="1" s="1"/>
  <c r="I16" i="1"/>
  <c r="K16" i="1" s="1"/>
  <c r="E16" i="1"/>
  <c r="G16" i="1" s="1"/>
  <c r="J16" i="1" s="1"/>
  <c r="I15" i="1"/>
  <c r="G15" i="1"/>
  <c r="J15" i="1" s="1"/>
  <c r="E15" i="1"/>
  <c r="J14" i="1"/>
  <c r="I14" i="1"/>
  <c r="K14" i="1" s="1"/>
  <c r="G14" i="1"/>
  <c r="E14" i="1"/>
  <c r="I13" i="1"/>
  <c r="E13" i="1"/>
  <c r="G13" i="1" s="1"/>
  <c r="J13" i="1" s="1"/>
  <c r="K13" i="1" s="1"/>
  <c r="I12" i="1"/>
  <c r="G12" i="1"/>
  <c r="J12" i="1" s="1"/>
  <c r="K12" i="1" s="1"/>
  <c r="E12" i="1"/>
  <c r="I11" i="1"/>
  <c r="K11" i="1" s="1"/>
  <c r="G11" i="1"/>
  <c r="J11" i="1" s="1"/>
  <c r="E11" i="1"/>
  <c r="I10" i="1"/>
  <c r="E10" i="1"/>
  <c r="G10" i="1" s="1"/>
  <c r="J10" i="1" s="1"/>
  <c r="I9" i="1"/>
  <c r="E9" i="1"/>
  <c r="K64" i="1" l="1"/>
  <c r="K46" i="1"/>
  <c r="K61" i="1"/>
  <c r="K80" i="1"/>
  <c r="K89" i="1"/>
  <c r="K110" i="1"/>
  <c r="K126" i="1"/>
  <c r="K147" i="1"/>
  <c r="K94" i="1"/>
  <c r="K131" i="1"/>
  <c r="K15" i="1"/>
  <c r="K25" i="1"/>
  <c r="K34" i="1"/>
  <c r="K56" i="1"/>
  <c r="K65" i="1"/>
  <c r="K86" i="1"/>
  <c r="K101" i="1"/>
  <c r="K123" i="1"/>
  <c r="K138" i="1"/>
  <c r="K33" i="1"/>
  <c r="K45" i="1"/>
  <c r="K109" i="1"/>
  <c r="K146" i="1"/>
  <c r="K18" i="1"/>
  <c r="K113" i="1"/>
  <c r="K10" i="1"/>
  <c r="K19" i="1"/>
  <c r="K31" i="1"/>
  <c r="K96" i="1"/>
  <c r="K105" i="1"/>
  <c r="K133" i="1"/>
  <c r="K148" i="1"/>
  <c r="K151" i="1"/>
  <c r="K49" i="1"/>
  <c r="K104" i="1"/>
  <c r="K141" i="1"/>
  <c r="K30" i="1"/>
  <c r="K72" i="1"/>
  <c r="K81" i="1"/>
  <c r="K117" i="1"/>
  <c r="K73" i="1"/>
  <c r="K39" i="1"/>
  <c r="K70" i="1"/>
  <c r="K85" i="1"/>
  <c r="K122" i="1"/>
  <c r="K149" i="1"/>
  <c r="K152" i="1"/>
  <c r="G9" i="1"/>
  <c r="J9" i="1" s="1"/>
  <c r="K9" i="1" l="1"/>
  <c r="I153" i="1"/>
  <c r="H153" i="1"/>
  <c r="E153" i="1"/>
  <c r="K153" i="1"/>
  <c r="J153" i="1"/>
</calcChain>
</file>

<file path=xl/sharedStrings.xml><?xml version="1.0" encoding="utf-8"?>
<sst xmlns="http://schemas.openxmlformats.org/spreadsheetml/2006/main" count="403" uniqueCount="397">
  <si>
    <t xml:space="preserve">KELOMPOK PENGGUNA AIR PEDESAAN </t>
  </si>
  <si>
    <t>" KORJO TIRTO"</t>
  </si>
  <si>
    <t>DATA  PEMAKAIAN AIR DAN BEAYA PER BULAN</t>
  </si>
  <si>
    <t>NO</t>
  </si>
  <si>
    <t>NAMA</t>
  </si>
  <si>
    <t>STAND METER</t>
  </si>
  <si>
    <t>PEMAKAIAN</t>
  </si>
  <si>
    <t>BEAYA</t>
  </si>
  <si>
    <t>BEAYA PER M3</t>
  </si>
  <si>
    <t>JUMLAH</t>
  </si>
  <si>
    <t>KET</t>
  </si>
  <si>
    <t>AWAL</t>
  </si>
  <si>
    <t>AKHIR</t>
  </si>
  <si>
    <t>JML</t>
  </si>
  <si>
    <t>K.I</t>
  </si>
  <si>
    <t>K.II</t>
  </si>
  <si>
    <t>BEBAN</t>
  </si>
  <si>
    <t>K I</t>
  </si>
  <si>
    <t>KII</t>
  </si>
  <si>
    <t>001</t>
  </si>
  <si>
    <t>Ibu SUHENI</t>
  </si>
  <si>
    <t>002</t>
  </si>
  <si>
    <t>ISMIYATI</t>
  </si>
  <si>
    <t>003</t>
  </si>
  <si>
    <t>Bpk. ARIF RIYADI</t>
  </si>
  <si>
    <t>004</t>
  </si>
  <si>
    <t>Ibu SUKINEM</t>
  </si>
  <si>
    <t>005</t>
  </si>
  <si>
    <t>Ibu PAIYEM</t>
  </si>
  <si>
    <t>006</t>
  </si>
  <si>
    <t>Bpk. HERU</t>
  </si>
  <si>
    <t>007</t>
  </si>
  <si>
    <t>Ibu SRI SUMARNI</t>
  </si>
  <si>
    <t>008</t>
  </si>
  <si>
    <t>Bpk. SUKINO</t>
  </si>
  <si>
    <t>009</t>
  </si>
  <si>
    <t>Ibu SUNARTI</t>
  </si>
  <si>
    <t>010</t>
  </si>
  <si>
    <t>Bpk. AGUS WIRANTO</t>
  </si>
  <si>
    <t>011</t>
  </si>
  <si>
    <t>Bpk. SUMARDI</t>
  </si>
  <si>
    <t>012</t>
  </si>
  <si>
    <t>Bpk. JOKO SURYANTO</t>
  </si>
  <si>
    <t>013</t>
  </si>
  <si>
    <t>Ibu MARYATUN</t>
  </si>
  <si>
    <t>014</t>
  </si>
  <si>
    <t>Bpk. SUMINO</t>
  </si>
  <si>
    <t>015</t>
  </si>
  <si>
    <t>MASJID AR-ROHMAN</t>
  </si>
  <si>
    <t>016</t>
  </si>
  <si>
    <t>Ibu SULAMI</t>
  </si>
  <si>
    <t>017</t>
  </si>
  <si>
    <t>Bpk. SUBARDI</t>
  </si>
  <si>
    <t>018</t>
  </si>
  <si>
    <t>Bpk. SUKARDI RT. 01</t>
  </si>
  <si>
    <t>019</t>
  </si>
  <si>
    <t>Bpk. JOKO PURNOMO</t>
  </si>
  <si>
    <t>020</t>
  </si>
  <si>
    <t>Bpk. BAHRUN</t>
  </si>
  <si>
    <t>021</t>
  </si>
  <si>
    <t>Bpk. MUDI</t>
  </si>
  <si>
    <t>022</t>
  </si>
  <si>
    <t>Bpk. SUYADI</t>
  </si>
  <si>
    <t>023</t>
  </si>
  <si>
    <t>Ibu SRI MUJIYAH</t>
  </si>
  <si>
    <t>024</t>
  </si>
  <si>
    <t>Bpk. SUYARTO</t>
  </si>
  <si>
    <t>025</t>
  </si>
  <si>
    <t>Bpk. HERI GUNAWAN</t>
  </si>
  <si>
    <t>026</t>
  </si>
  <si>
    <t>Bpk. ANDAR</t>
  </si>
  <si>
    <t>027</t>
  </si>
  <si>
    <t>Bpk. ADI SUYONO</t>
  </si>
  <si>
    <t>028</t>
  </si>
  <si>
    <t>Bpk. BANJAR SUTIKNO</t>
  </si>
  <si>
    <t>029</t>
  </si>
  <si>
    <t>Bpk. PATMO RAJIMAN</t>
  </si>
  <si>
    <t>030</t>
  </si>
  <si>
    <t>Bpk. IWAN FUADI</t>
  </si>
  <si>
    <t>031</t>
  </si>
  <si>
    <t>Bpk. WIYADI</t>
  </si>
  <si>
    <t>032</t>
  </si>
  <si>
    <t>Ibu RATIYEM</t>
  </si>
  <si>
    <t>033</t>
  </si>
  <si>
    <t>MUSHOLLA AL-IKHLAS</t>
  </si>
  <si>
    <t>034</t>
  </si>
  <si>
    <t>Bpk. DWI MARYONO</t>
  </si>
  <si>
    <t>035</t>
  </si>
  <si>
    <t>Bpk. MULYONO</t>
  </si>
  <si>
    <t>036</t>
  </si>
  <si>
    <t>Bpk. SUWANTO</t>
  </si>
  <si>
    <t>037</t>
  </si>
  <si>
    <t>Bpk. SUMIYANTO</t>
  </si>
  <si>
    <t>038</t>
  </si>
  <si>
    <t>Bpk. AKHID MASHURI</t>
  </si>
  <si>
    <t>039</t>
  </si>
  <si>
    <t>Bpk. SUNARYA</t>
  </si>
  <si>
    <t>040</t>
  </si>
  <si>
    <t>Bpk. RATNO SUWITO</t>
  </si>
  <si>
    <t>041</t>
  </si>
  <si>
    <t>Bpk. SULARNO</t>
  </si>
  <si>
    <t>042</t>
  </si>
  <si>
    <t>Bpk. NASEKUN 1</t>
  </si>
  <si>
    <t>043</t>
  </si>
  <si>
    <t>Bpk. ARIF TRI NURCAHYO</t>
  </si>
  <si>
    <t>044</t>
  </si>
  <si>
    <t>Bpk. NASEKUN 2</t>
  </si>
  <si>
    <t>045</t>
  </si>
  <si>
    <t>Bpk. HARTO MULYONO</t>
  </si>
  <si>
    <t>046</t>
  </si>
  <si>
    <t>Bpk. JUPRIYANTO</t>
  </si>
  <si>
    <t>047</t>
  </si>
  <si>
    <t>Bpk. SLAMET RIYADI</t>
  </si>
  <si>
    <t>048</t>
  </si>
  <si>
    <t>BPk. DANANG WAHYUDI</t>
  </si>
  <si>
    <t>049</t>
  </si>
  <si>
    <t xml:space="preserve">Bpk. SURATNO HADI </t>
  </si>
  <si>
    <t>050</t>
  </si>
  <si>
    <t>Bpk. PONIMAN</t>
  </si>
  <si>
    <t>051</t>
  </si>
  <si>
    <t>Bpk. NGADINO</t>
  </si>
  <si>
    <t>052</t>
  </si>
  <si>
    <t>Bpk. IRFAN ASHARI</t>
  </si>
  <si>
    <t>053</t>
  </si>
  <si>
    <t>Bpk. MULADI</t>
  </si>
  <si>
    <t>054</t>
  </si>
  <si>
    <t>Bpk. NGADIMAN</t>
  </si>
  <si>
    <t>055</t>
  </si>
  <si>
    <t>SD MUH. SUKOREJO</t>
  </si>
  <si>
    <t>056</t>
  </si>
  <si>
    <t>Bpk. TAUFIK FIRMANSYAH</t>
  </si>
  <si>
    <t>057</t>
  </si>
  <si>
    <t>Bpk. SUKARDI RT. 06</t>
  </si>
  <si>
    <t>058</t>
  </si>
  <si>
    <t>Bpk. SUWANTO 2</t>
  </si>
  <si>
    <t>059</t>
  </si>
  <si>
    <t>Bpk. M.KARIM</t>
  </si>
  <si>
    <t>060</t>
  </si>
  <si>
    <t>Bpk. DARYADI</t>
  </si>
  <si>
    <t>061</t>
  </si>
  <si>
    <t>Bpk. FUADIN</t>
  </si>
  <si>
    <t>062</t>
  </si>
  <si>
    <t>063</t>
  </si>
  <si>
    <t>Bpk. JAMALUDIN 2</t>
  </si>
  <si>
    <t>064</t>
  </si>
  <si>
    <t>Ibu TRI SEDYANINGSIH</t>
  </si>
  <si>
    <t>065</t>
  </si>
  <si>
    <t>Bpk. SURYONO</t>
  </si>
  <si>
    <t>066</t>
  </si>
  <si>
    <t>Ibu NGATIYEM</t>
  </si>
  <si>
    <t>067</t>
  </si>
  <si>
    <t>Bpk. BUSTANUL  ARIFIN</t>
  </si>
  <si>
    <t>068</t>
  </si>
  <si>
    <t>Bpk. MEI WAHYU</t>
  </si>
  <si>
    <t>069</t>
  </si>
  <si>
    <t>Bpk. JUDI JOKO MARTANTO</t>
  </si>
  <si>
    <t>070</t>
  </si>
  <si>
    <t xml:space="preserve">Bpk. ALI SUBROTO </t>
  </si>
  <si>
    <t>071</t>
  </si>
  <si>
    <t>Bpk. SURAJI</t>
  </si>
  <si>
    <t>072</t>
  </si>
  <si>
    <t>Bpk. DEDI HIDAYAT</t>
  </si>
  <si>
    <t>073</t>
  </si>
  <si>
    <t>Bpk. JAIS ( JABAR )</t>
  </si>
  <si>
    <t>074</t>
  </si>
  <si>
    <t>Ibu IIN SUJIYANTI</t>
  </si>
  <si>
    <t>075</t>
  </si>
  <si>
    <t>Bpk. WIYONO</t>
  </si>
  <si>
    <t>076</t>
  </si>
  <si>
    <t>Bpk. ROIS</t>
  </si>
  <si>
    <t>077</t>
  </si>
  <si>
    <t>Bpk. SUBADI</t>
  </si>
  <si>
    <t>078</t>
  </si>
  <si>
    <t>Bpk. DARYANTO</t>
  </si>
  <si>
    <t>079</t>
  </si>
  <si>
    <t>Bpk. KISWANTO</t>
  </si>
  <si>
    <t>080</t>
  </si>
  <si>
    <t>Ibu JUMETI</t>
  </si>
  <si>
    <t>081</t>
  </si>
  <si>
    <t>Bpk. BASUKI</t>
  </si>
  <si>
    <t>082</t>
  </si>
  <si>
    <t>Bpk. SAJIMAN</t>
  </si>
  <si>
    <t>083</t>
  </si>
  <si>
    <t>Bpk. NANANG SETIAWAN</t>
  </si>
  <si>
    <t>084</t>
  </si>
  <si>
    <t>Bpk. JAYUSWANTO</t>
  </si>
  <si>
    <t>085</t>
  </si>
  <si>
    <t>Bpk. TARNO WIYOTO</t>
  </si>
  <si>
    <t>086</t>
  </si>
  <si>
    <t>Bpk. MARIMIN</t>
  </si>
  <si>
    <t>087</t>
  </si>
  <si>
    <t>Bpk. WAKIDI</t>
  </si>
  <si>
    <t>088</t>
  </si>
  <si>
    <t>Bpk. WARSIDI</t>
  </si>
  <si>
    <t>089</t>
  </si>
  <si>
    <t>Bpk. TEGUH</t>
  </si>
  <si>
    <t>090</t>
  </si>
  <si>
    <t>Bpk. TUGIMIN</t>
  </si>
  <si>
    <t>091</t>
  </si>
  <si>
    <t>Bpk. ROKANI</t>
  </si>
  <si>
    <t>092</t>
  </si>
  <si>
    <t>Ibu MARYATI</t>
  </si>
  <si>
    <t>093</t>
  </si>
  <si>
    <t>Bpk. RADIYO</t>
  </si>
  <si>
    <t>094</t>
  </si>
  <si>
    <t>Bpk. HAR SALIMIN</t>
  </si>
  <si>
    <t>095</t>
  </si>
  <si>
    <t>Bpk. SUGIYARTO</t>
  </si>
  <si>
    <t>096</t>
  </si>
  <si>
    <t>097</t>
  </si>
  <si>
    <t>Bpk. SRIYONO</t>
  </si>
  <si>
    <t>098</t>
  </si>
  <si>
    <t>Ibu. SUWARNI</t>
  </si>
  <si>
    <t>099</t>
  </si>
  <si>
    <t>Ibu TUMIYATI</t>
  </si>
  <si>
    <t>100</t>
  </si>
  <si>
    <t>Bpk. WASIMIN</t>
  </si>
  <si>
    <t>101</t>
  </si>
  <si>
    <t>Ibu RATINI</t>
  </si>
  <si>
    <t>102</t>
  </si>
  <si>
    <t>Ibu YATIN</t>
  </si>
  <si>
    <t>103</t>
  </si>
  <si>
    <t>Bpk. LAMBRI</t>
  </si>
  <si>
    <t>104</t>
  </si>
  <si>
    <t>Bpk. SUDARNO</t>
  </si>
  <si>
    <t>105</t>
  </si>
  <si>
    <t>Bpk. SUKINO (PARTINI)</t>
  </si>
  <si>
    <t>106</t>
  </si>
  <si>
    <t>Bpk. SUKIRNO</t>
  </si>
  <si>
    <t>107</t>
  </si>
  <si>
    <t>Bpk. SAMIN</t>
  </si>
  <si>
    <t>108</t>
  </si>
  <si>
    <t>Bpk. JOJOK HERMAWAN</t>
  </si>
  <si>
    <t>109</t>
  </si>
  <si>
    <t>Bpk. HADI SUTRISNO</t>
  </si>
  <si>
    <t>110</t>
  </si>
  <si>
    <t>Bpk. JUWARTO</t>
  </si>
  <si>
    <t>111</t>
  </si>
  <si>
    <t>Bpk. EKO WAHYUDIN</t>
  </si>
  <si>
    <t>112</t>
  </si>
  <si>
    <t>MUSHOLA NURUL IMAN</t>
  </si>
  <si>
    <t>113</t>
  </si>
  <si>
    <t>Bpk. SUNARTO</t>
  </si>
  <si>
    <t>114</t>
  </si>
  <si>
    <t>Bpk. SUYATMIN</t>
  </si>
  <si>
    <t>115</t>
  </si>
  <si>
    <t>Bpk. RUSMANTO</t>
  </si>
  <si>
    <t>116</t>
  </si>
  <si>
    <t>Bpk. ZARKONI</t>
  </si>
  <si>
    <t>117</t>
  </si>
  <si>
    <t>Ibu SUTIYAH</t>
  </si>
  <si>
    <t>118</t>
  </si>
  <si>
    <t>Bpk. BEJO</t>
  </si>
  <si>
    <t>119</t>
  </si>
  <si>
    <t>Bpk. WASIDI</t>
  </si>
  <si>
    <t>120</t>
  </si>
  <si>
    <t>Bpk. INDRIYANTO</t>
  </si>
  <si>
    <t>121</t>
  </si>
  <si>
    <t xml:space="preserve">Bpk. AHMADI </t>
  </si>
  <si>
    <t>122</t>
  </si>
  <si>
    <t>Bpk. SABARNO</t>
  </si>
  <si>
    <t>123</t>
  </si>
  <si>
    <t>Bpk. AGUS  HARTANTO</t>
  </si>
  <si>
    <t>124</t>
  </si>
  <si>
    <t>Bpk. NUR CAHYADI</t>
  </si>
  <si>
    <t>125</t>
  </si>
  <si>
    <t>Bpk. BUDI SUTRISNO</t>
  </si>
  <si>
    <t>126</t>
  </si>
  <si>
    <t>Bpk. ROHMAD</t>
  </si>
  <si>
    <t>127</t>
  </si>
  <si>
    <t>Bpk. WARSITO</t>
  </si>
  <si>
    <t>128</t>
  </si>
  <si>
    <t>Bpk. RIYANTO</t>
  </si>
  <si>
    <t>129</t>
  </si>
  <si>
    <t>Bpk. GIMANTO</t>
  </si>
  <si>
    <t>130</t>
  </si>
  <si>
    <t xml:space="preserve">Bpk. SANTOSO </t>
  </si>
  <si>
    <t>131</t>
  </si>
  <si>
    <t>Bpk. SUGIYANTO</t>
  </si>
  <si>
    <t>132</t>
  </si>
  <si>
    <t>MASJID DARUSSALAM</t>
  </si>
  <si>
    <t>133</t>
  </si>
  <si>
    <t>134</t>
  </si>
  <si>
    <t>Bpk. SUPANDI</t>
  </si>
  <si>
    <t>135</t>
  </si>
  <si>
    <t xml:space="preserve">Bpk. YATMIN </t>
  </si>
  <si>
    <t>136</t>
  </si>
  <si>
    <t>Ibu KARMIYATUN</t>
  </si>
  <si>
    <t>137</t>
  </si>
  <si>
    <t>Bpk. LAGIMIN</t>
  </si>
  <si>
    <t>138</t>
  </si>
  <si>
    <t>Ibu SUGIYANTI</t>
  </si>
  <si>
    <t>139</t>
  </si>
  <si>
    <t>140</t>
  </si>
  <si>
    <t>Sdr. YULIANTO</t>
  </si>
  <si>
    <t>141</t>
  </si>
  <si>
    <t>Bpk. SUJIANTO</t>
  </si>
  <si>
    <t>142</t>
  </si>
  <si>
    <t>SITI RIYATNO</t>
  </si>
  <si>
    <t>Bpk. SAGIMIN</t>
  </si>
  <si>
    <t>Ibu SUTILAH</t>
  </si>
  <si>
    <t>Nomor HP</t>
  </si>
  <si>
    <t>082327763402</t>
  </si>
  <si>
    <t>085712211471</t>
  </si>
  <si>
    <t>085865470481</t>
  </si>
  <si>
    <t>081393456328</t>
  </si>
  <si>
    <t>085790586930</t>
  </si>
  <si>
    <t>085526296671</t>
  </si>
  <si>
    <t>083801848193</t>
  </si>
  <si>
    <t>082220438957</t>
  </si>
  <si>
    <t>085715102791</t>
  </si>
  <si>
    <t>0882007534562</t>
  </si>
  <si>
    <t>081804411431</t>
  </si>
  <si>
    <t>085878476766</t>
  </si>
  <si>
    <t>085713070179</t>
  </si>
  <si>
    <t>085712976956</t>
  </si>
  <si>
    <t>085741670702</t>
  </si>
  <si>
    <t>085747169754</t>
  </si>
  <si>
    <t>082265079005</t>
  </si>
  <si>
    <t>081391514974</t>
  </si>
  <si>
    <t>087884087982</t>
  </si>
  <si>
    <t>085600481926</t>
  </si>
  <si>
    <t>085800702963</t>
  </si>
  <si>
    <t>085877515753</t>
  </si>
  <si>
    <t>08562853459</t>
  </si>
  <si>
    <t>082137655345</t>
  </si>
  <si>
    <t>085868448878</t>
  </si>
  <si>
    <t>082225086373</t>
  </si>
  <si>
    <t>08170409213</t>
  </si>
  <si>
    <t>085227797555</t>
  </si>
  <si>
    <t>088226325249</t>
  </si>
  <si>
    <t>085729189669</t>
  </si>
  <si>
    <t>081328573714</t>
  </si>
  <si>
    <t>081329281523</t>
  </si>
  <si>
    <t>081548363530</t>
  </si>
  <si>
    <t>085712028823</t>
  </si>
  <si>
    <t>082245595237</t>
  </si>
  <si>
    <t>085726596652</t>
  </si>
  <si>
    <t>081575813937</t>
  </si>
  <si>
    <t>085729528464</t>
  </si>
  <si>
    <t>088221877980</t>
  </si>
  <si>
    <t>Bpk. JAMALUDIN 1</t>
  </si>
  <si>
    <t>081915524892</t>
  </si>
  <si>
    <t>081335404900</t>
  </si>
  <si>
    <t>082324278678</t>
  </si>
  <si>
    <t>088227281467</t>
  </si>
  <si>
    <t>081326460345</t>
  </si>
  <si>
    <t>087838293935</t>
  </si>
  <si>
    <t>085875904582</t>
  </si>
  <si>
    <t>081325798099</t>
  </si>
  <si>
    <t>085643888931</t>
  </si>
  <si>
    <t>088238697372</t>
  </si>
  <si>
    <t>085869710959</t>
  </si>
  <si>
    <t>085747269734</t>
  </si>
  <si>
    <t>085647421697</t>
  </si>
  <si>
    <t>081316800311</t>
  </si>
  <si>
    <t>085802735414</t>
  </si>
  <si>
    <t>085712601204</t>
  </si>
  <si>
    <t>085643159552</t>
  </si>
  <si>
    <t>085799725691</t>
  </si>
  <si>
    <t>088211936163</t>
  </si>
  <si>
    <t>081393689979</t>
  </si>
  <si>
    <t>085743785728</t>
  </si>
  <si>
    <t>081391847645</t>
  </si>
  <si>
    <t>087764977307</t>
  </si>
  <si>
    <t>085281270830</t>
  </si>
  <si>
    <t>0882007715442</t>
  </si>
  <si>
    <t>082227178385</t>
  </si>
  <si>
    <t>085747244578</t>
  </si>
  <si>
    <t>085643666654</t>
  </si>
  <si>
    <t>088233432501</t>
  </si>
  <si>
    <t>081325517539</t>
  </si>
  <si>
    <t>087760572658</t>
  </si>
  <si>
    <t>085932936950</t>
  </si>
  <si>
    <t>085814641434</t>
  </si>
  <si>
    <t>082132874176</t>
  </si>
  <si>
    <t>081254005715</t>
  </si>
  <si>
    <t>085741666416</t>
  </si>
  <si>
    <t>085643839946</t>
  </si>
  <si>
    <t>0882006849494</t>
  </si>
  <si>
    <t>082313059370</t>
  </si>
  <si>
    <t>087872847174</t>
  </si>
  <si>
    <t>082243010922</t>
  </si>
  <si>
    <t>085741665988</t>
  </si>
  <si>
    <t>085158370340</t>
  </si>
  <si>
    <t>081325510076</t>
  </si>
  <si>
    <t>087822810179</t>
  </si>
  <si>
    <t>087727138472</t>
  </si>
  <si>
    <t>081229996821</t>
  </si>
  <si>
    <t>081393465281</t>
  </si>
  <si>
    <t>Bulan : Desember  2025</t>
  </si>
  <si>
    <t>TAHUN 2025</t>
  </si>
  <si>
    <t>085226316131</t>
  </si>
  <si>
    <t>082142749771</t>
  </si>
  <si>
    <t>082325725148</t>
  </si>
  <si>
    <t>087839885753</t>
  </si>
  <si>
    <t>081227769924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</si>
</sst>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charset val="1"/>
      <scheme val="minor"/>
    </font>
    <font>
      <b/>
      <sz val="14"/>
      <color theme="1"/>
      <name val="Amasis MT Pro Black"/>
      <family val="1"/>
    </font>
    <font>
      <b/>
      <sz val="16"/>
      <color theme="1"/>
      <name val="Amasis MT Pro Black"/>
      <family val="1"/>
    </font>
    <font>
      <b/>
      <sz val="14"/>
      <color theme="1"/>
      <name val="Aptos Narrow"/>
      <family val="2"/>
      <scheme val="minor"/>
    </font>
    <font>
      <b/>
      <sz val="14"/>
      <color theme="1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0"/>
      <color theme="1"/>
      <name val="Aptos Narrow"/>
      <family val="2"/>
      <scheme val="minor"/>
    </font>
    <font>
      <sz val="10"/>
      <name val="Calibri"/>
      <family val="2"/>
    </font>
    <font>
      <sz val="11"/>
      <color theme="1"/>
      <name val="Calibri"/>
      <family val="2"/>
    </font>
    <font>
      <sz val="9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0" fontId="7" fillId="0" borderId="0" xfId="0" applyFont="1"/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5" xfId="0" quotePrefix="1" applyFont="1" applyBorder="1" applyAlignment="1">
      <alignment horizontal="center" vertical="center"/>
    </xf>
    <xf numFmtId="0" fontId="6" fillId="0" borderId="5" xfId="0" applyFont="1" applyBorder="1" applyAlignment="1">
      <alignment horizontal="left" vertical="center"/>
    </xf>
    <xf numFmtId="1" fontId="6" fillId="2" borderId="5" xfId="0" applyNumberFormat="1" applyFont="1" applyFill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3" fontId="6" fillId="0" borderId="5" xfId="0" applyNumberFormat="1" applyFont="1" applyBorder="1" applyAlignment="1">
      <alignment horizontal="center" vertical="center"/>
    </xf>
    <xf numFmtId="3" fontId="6" fillId="0" borderId="5" xfId="0" applyNumberFormat="1" applyFont="1" applyBorder="1" applyAlignment="1">
      <alignment vertical="center"/>
    </xf>
    <xf numFmtId="0" fontId="6" fillId="0" borderId="5" xfId="0" applyFont="1" applyBorder="1"/>
    <xf numFmtId="0" fontId="8" fillId="0" borderId="5" xfId="0" applyFont="1" applyBorder="1" applyAlignment="1">
      <alignment horizontal="left" vertical="center"/>
    </xf>
    <xf numFmtId="0" fontId="6" fillId="2" borderId="5" xfId="0" applyFont="1" applyFill="1" applyBorder="1" applyAlignment="1">
      <alignment horizontal="center" vertical="center"/>
    </xf>
    <xf numFmtId="14" fontId="6" fillId="0" borderId="5" xfId="0" applyNumberFormat="1" applyFont="1" applyBorder="1"/>
    <xf numFmtId="0" fontId="6" fillId="0" borderId="5" xfId="0" applyFont="1" applyBorder="1" applyAlignment="1">
      <alignment vertical="center"/>
    </xf>
    <xf numFmtId="0" fontId="9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vertical="center"/>
    </xf>
    <xf numFmtId="14" fontId="6" fillId="0" borderId="5" xfId="0" applyNumberFormat="1" applyFont="1" applyBorder="1" applyAlignment="1">
      <alignment horizontal="center"/>
    </xf>
    <xf numFmtId="3" fontId="7" fillId="0" borderId="0" xfId="0" applyNumberFormat="1" applyFont="1"/>
    <xf numFmtId="0" fontId="6" fillId="0" borderId="1" xfId="0" applyFont="1" applyBorder="1" applyAlignment="1">
      <alignment horizontal="left" vertical="center"/>
    </xf>
    <xf numFmtId="0" fontId="10" fillId="0" borderId="5" xfId="0" applyFont="1" applyBorder="1" applyAlignment="1">
      <alignment horizontal="left" vertical="center"/>
    </xf>
    <xf numFmtId="3" fontId="10" fillId="0" borderId="5" xfId="0" applyNumberFormat="1" applyFont="1" applyBorder="1" applyAlignment="1">
      <alignment vertical="center"/>
    </xf>
    <xf numFmtId="0" fontId="0" fillId="0" borderId="0" xfId="0" applyAlignment="1">
      <alignment vertical="center"/>
    </xf>
    <xf numFmtId="0" fontId="0" fillId="0" borderId="5" xfId="0" applyBorder="1"/>
    <xf numFmtId="3" fontId="11" fillId="0" borderId="5" xfId="0" applyNumberFormat="1" applyFont="1" applyBorder="1" applyAlignment="1">
      <alignment vertical="center"/>
    </xf>
    <xf numFmtId="0" fontId="0" fillId="0" borderId="0" xfId="0" applyAlignment="1">
      <alignment horizontal="center"/>
    </xf>
    <xf numFmtId="3" fontId="0" fillId="0" borderId="0" xfId="0" applyNumberFormat="1"/>
    <xf numFmtId="0" fontId="7" fillId="0" borderId="0" xfId="0" quotePrefix="1" applyFont="1"/>
    <xf numFmtId="0" fontId="0" fillId="0" borderId="0" xfId="0" quotePrefix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2AFF1-8C39-4C32-AD4C-02DFC3C56053}">
  <dimension ref="A1:M157"/>
  <sheetViews>
    <sheetView tabSelected="1" workbookViewId="0">
      <selection activeCell="L9" sqref="L9"/>
    </sheetView>
  </sheetViews>
  <sheetFormatPr defaultColWidth="9" defaultRowHeight="15" x14ac:dyDescent="0.25"/>
  <cols>
    <col min="1" max="1" width="4.7109375" customWidth="1"/>
    <col min="2" max="2" width="20.140625" customWidth="1"/>
    <col min="3" max="4" width="6.28515625" customWidth="1"/>
    <col min="5" max="5" width="5.5703125" customWidth="1"/>
    <col min="6" max="6" width="4.85546875" style="35" customWidth="1"/>
    <col min="7" max="7" width="5" style="35" customWidth="1"/>
    <col min="8" max="8" width="7.140625" customWidth="1"/>
    <col min="9" max="9" width="7.7109375" customWidth="1"/>
    <col min="10" max="10" width="8.140625" customWidth="1"/>
    <col min="11" max="11" width="9.42578125" customWidth="1"/>
    <col min="12" max="12" width="10.42578125" customWidth="1"/>
    <col min="13" max="13" width="13.140625" customWidth="1"/>
  </cols>
  <sheetData>
    <row r="1" spans="1:13" ht="18.75" x14ac:dyDescent="0.3">
      <c r="A1" s="42" t="s">
        <v>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</row>
    <row r="2" spans="1:13" ht="21.75" x14ac:dyDescent="0.25">
      <c r="A2" s="43" t="s">
        <v>1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</row>
    <row r="3" spans="1:13" ht="18.75" x14ac:dyDescent="0.3">
      <c r="A3" s="42" t="s">
        <v>391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</row>
    <row r="4" spans="1:13" ht="18.75" x14ac:dyDescent="0.3">
      <c r="A4" s="1"/>
      <c r="B4" s="1"/>
      <c r="C4" s="1"/>
      <c r="D4" s="1"/>
      <c r="E4" s="1"/>
      <c r="F4" s="2"/>
      <c r="G4" s="2"/>
      <c r="H4" s="1"/>
      <c r="I4" s="1"/>
      <c r="J4" s="1"/>
      <c r="K4" s="1"/>
    </row>
    <row r="5" spans="1:13" ht="18.75" x14ac:dyDescent="0.3">
      <c r="A5" s="44" t="s">
        <v>2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</row>
    <row r="6" spans="1:13" s="6" customFormat="1" ht="13.5" x14ac:dyDescent="0.25">
      <c r="A6" s="3" t="s">
        <v>390</v>
      </c>
      <c r="B6" s="4"/>
      <c r="C6" s="4"/>
      <c r="D6" s="4"/>
      <c r="E6" s="4"/>
      <c r="F6" s="5"/>
      <c r="G6" s="5"/>
      <c r="H6" s="4"/>
      <c r="I6" s="4"/>
      <c r="J6" s="4"/>
      <c r="K6" s="4"/>
      <c r="L6" s="4"/>
    </row>
    <row r="7" spans="1:13" s="6" customFormat="1" ht="18" customHeight="1" x14ac:dyDescent="0.25">
      <c r="A7" s="39" t="s">
        <v>3</v>
      </c>
      <c r="B7" s="39" t="s">
        <v>4</v>
      </c>
      <c r="C7" s="45" t="s">
        <v>5</v>
      </c>
      <c r="D7" s="46"/>
      <c r="E7" s="47"/>
      <c r="F7" s="45" t="s">
        <v>6</v>
      </c>
      <c r="G7" s="46"/>
      <c r="H7" s="7" t="s">
        <v>7</v>
      </c>
      <c r="I7" s="46" t="s">
        <v>8</v>
      </c>
      <c r="J7" s="47"/>
      <c r="K7" s="48" t="s">
        <v>9</v>
      </c>
      <c r="L7" s="39" t="s">
        <v>10</v>
      </c>
      <c r="M7" s="41" t="s">
        <v>301</v>
      </c>
    </row>
    <row r="8" spans="1:13" s="6" customFormat="1" ht="18" customHeight="1" x14ac:dyDescent="0.25">
      <c r="A8" s="40"/>
      <c r="B8" s="40"/>
      <c r="C8" s="10" t="s">
        <v>11</v>
      </c>
      <c r="D8" s="10" t="s">
        <v>12</v>
      </c>
      <c r="E8" s="12" t="s">
        <v>13</v>
      </c>
      <c r="F8" s="10" t="s">
        <v>14</v>
      </c>
      <c r="G8" s="8" t="s">
        <v>15</v>
      </c>
      <c r="H8" s="11" t="s">
        <v>16</v>
      </c>
      <c r="I8" s="9" t="s">
        <v>17</v>
      </c>
      <c r="J8" s="10" t="s">
        <v>18</v>
      </c>
      <c r="K8" s="48"/>
      <c r="L8" s="40"/>
      <c r="M8" s="41"/>
    </row>
    <row r="9" spans="1:13" s="6" customFormat="1" ht="18" customHeight="1" x14ac:dyDescent="0.25">
      <c r="A9" s="13" t="s">
        <v>19</v>
      </c>
      <c r="B9" s="14" t="s">
        <v>20</v>
      </c>
      <c r="C9" s="15">
        <v>371</v>
      </c>
      <c r="D9" s="15">
        <v>378</v>
      </c>
      <c r="E9" s="16">
        <f t="shared" ref="E9:E75" si="0">D9-C9</f>
        <v>7</v>
      </c>
      <c r="F9" s="17">
        <v>7</v>
      </c>
      <c r="G9" s="17">
        <f>(E9-F9)</f>
        <v>0</v>
      </c>
      <c r="H9" s="18">
        <v>3000</v>
      </c>
      <c r="I9" s="19">
        <f>F9*1800</f>
        <v>12600</v>
      </c>
      <c r="J9" s="19">
        <f>G9*3000</f>
        <v>0</v>
      </c>
      <c r="K9" s="19">
        <f>H9+I9+J9</f>
        <v>15600</v>
      </c>
      <c r="L9" s="20"/>
      <c r="M9" s="37" t="s">
        <v>302</v>
      </c>
    </row>
    <row r="10" spans="1:13" s="6" customFormat="1" ht="18" customHeight="1" x14ac:dyDescent="0.25">
      <c r="A10" s="13" t="s">
        <v>21</v>
      </c>
      <c r="B10" s="14" t="s">
        <v>22</v>
      </c>
      <c r="C10" s="17">
        <v>1534</v>
      </c>
      <c r="D10" s="17">
        <v>1544</v>
      </c>
      <c r="E10" s="16">
        <f t="shared" si="0"/>
        <v>10</v>
      </c>
      <c r="F10" s="17">
        <v>10</v>
      </c>
      <c r="G10" s="17">
        <f t="shared" ref="G10:G76" si="1">(E10-F10)</f>
        <v>0</v>
      </c>
      <c r="H10" s="18">
        <v>3000</v>
      </c>
      <c r="I10" s="19">
        <f t="shared" ref="I10:I22" si="2">F10*1800</f>
        <v>18000</v>
      </c>
      <c r="J10" s="19">
        <f t="shared" ref="J10:J76" si="3">G10*3000</f>
        <v>0</v>
      </c>
      <c r="K10" s="19">
        <f t="shared" ref="K10:K40" si="4">H10+I10+J10</f>
        <v>21000</v>
      </c>
      <c r="L10" s="20"/>
      <c r="M10" s="37" t="s">
        <v>303</v>
      </c>
    </row>
    <row r="11" spans="1:13" s="6" customFormat="1" ht="18" customHeight="1" x14ac:dyDescent="0.25">
      <c r="A11" s="13" t="s">
        <v>23</v>
      </c>
      <c r="B11" s="14" t="s">
        <v>24</v>
      </c>
      <c r="C11" s="17">
        <v>1517</v>
      </c>
      <c r="D11" s="17">
        <v>1544</v>
      </c>
      <c r="E11" s="16">
        <f t="shared" si="0"/>
        <v>27</v>
      </c>
      <c r="F11" s="17">
        <v>27</v>
      </c>
      <c r="G11" s="17">
        <f t="shared" si="1"/>
        <v>0</v>
      </c>
      <c r="H11" s="18">
        <v>3000</v>
      </c>
      <c r="I11" s="19">
        <f t="shared" si="2"/>
        <v>48600</v>
      </c>
      <c r="J11" s="19">
        <f t="shared" si="3"/>
        <v>0</v>
      </c>
      <c r="K11" s="19">
        <f t="shared" si="4"/>
        <v>51600</v>
      </c>
      <c r="L11" s="20"/>
      <c r="M11" s="37" t="s">
        <v>304</v>
      </c>
    </row>
    <row r="12" spans="1:13" s="6" customFormat="1" ht="18" customHeight="1" x14ac:dyDescent="0.25">
      <c r="A12" s="13" t="s">
        <v>25</v>
      </c>
      <c r="B12" s="21" t="s">
        <v>26</v>
      </c>
      <c r="C12" s="17">
        <v>2907</v>
      </c>
      <c r="D12" s="17">
        <v>2918</v>
      </c>
      <c r="E12" s="16">
        <f t="shared" si="0"/>
        <v>11</v>
      </c>
      <c r="F12" s="17">
        <v>11</v>
      </c>
      <c r="G12" s="17">
        <f t="shared" si="1"/>
        <v>0</v>
      </c>
      <c r="H12" s="18">
        <v>3000</v>
      </c>
      <c r="I12" s="19">
        <f t="shared" si="2"/>
        <v>19800</v>
      </c>
      <c r="J12" s="19">
        <f t="shared" si="3"/>
        <v>0</v>
      </c>
      <c r="K12" s="19">
        <f t="shared" si="4"/>
        <v>22800</v>
      </c>
      <c r="L12" s="20"/>
      <c r="M12" s="37" t="s">
        <v>378</v>
      </c>
    </row>
    <row r="13" spans="1:13" s="6" customFormat="1" ht="18" customHeight="1" x14ac:dyDescent="0.25">
      <c r="A13" s="13" t="s">
        <v>27</v>
      </c>
      <c r="B13" s="14" t="s">
        <v>28</v>
      </c>
      <c r="C13" s="22">
        <v>2525</v>
      </c>
      <c r="D13" s="22">
        <v>2540</v>
      </c>
      <c r="E13" s="16">
        <f t="shared" si="0"/>
        <v>15</v>
      </c>
      <c r="F13" s="17">
        <v>15</v>
      </c>
      <c r="G13" s="17">
        <f t="shared" si="1"/>
        <v>0</v>
      </c>
      <c r="H13" s="18">
        <v>3000</v>
      </c>
      <c r="I13" s="19">
        <f t="shared" si="2"/>
        <v>27000</v>
      </c>
      <c r="J13" s="19">
        <f t="shared" si="3"/>
        <v>0</v>
      </c>
      <c r="K13" s="19">
        <f t="shared" si="4"/>
        <v>30000</v>
      </c>
      <c r="L13" s="20"/>
      <c r="M13" s="37" t="s">
        <v>305</v>
      </c>
    </row>
    <row r="14" spans="1:13" s="6" customFormat="1" ht="18" customHeight="1" x14ac:dyDescent="0.25">
      <c r="A14" s="13" t="s">
        <v>29</v>
      </c>
      <c r="B14" s="14" t="s">
        <v>30</v>
      </c>
      <c r="C14" s="17">
        <v>680</v>
      </c>
      <c r="D14" s="17">
        <v>696</v>
      </c>
      <c r="E14" s="16">
        <f t="shared" si="0"/>
        <v>16</v>
      </c>
      <c r="F14" s="17">
        <v>16</v>
      </c>
      <c r="G14" s="17">
        <f t="shared" si="1"/>
        <v>0</v>
      </c>
      <c r="H14" s="18">
        <v>3000</v>
      </c>
      <c r="I14" s="19">
        <f t="shared" si="2"/>
        <v>28800</v>
      </c>
      <c r="J14" s="19">
        <f t="shared" si="3"/>
        <v>0</v>
      </c>
      <c r="K14" s="19">
        <f t="shared" si="4"/>
        <v>31800</v>
      </c>
      <c r="L14" s="20"/>
      <c r="M14" s="37" t="s">
        <v>308</v>
      </c>
    </row>
    <row r="15" spans="1:13" s="6" customFormat="1" ht="18" customHeight="1" x14ac:dyDescent="0.25">
      <c r="A15" s="13" t="s">
        <v>31</v>
      </c>
      <c r="B15" s="14" t="s">
        <v>32</v>
      </c>
      <c r="C15" s="17">
        <v>2640</v>
      </c>
      <c r="D15" s="17">
        <v>2660</v>
      </c>
      <c r="E15" s="16">
        <f t="shared" si="0"/>
        <v>20</v>
      </c>
      <c r="F15" s="17">
        <v>20</v>
      </c>
      <c r="G15" s="17">
        <f t="shared" si="1"/>
        <v>0</v>
      </c>
      <c r="H15" s="18">
        <v>3000</v>
      </c>
      <c r="I15" s="19">
        <f t="shared" si="2"/>
        <v>36000</v>
      </c>
      <c r="J15" s="19">
        <f t="shared" si="3"/>
        <v>0</v>
      </c>
      <c r="K15" s="19">
        <f t="shared" si="4"/>
        <v>39000</v>
      </c>
      <c r="L15" s="20"/>
      <c r="M15" s="37" t="s">
        <v>306</v>
      </c>
    </row>
    <row r="16" spans="1:13" s="6" customFormat="1" ht="18" customHeight="1" x14ac:dyDescent="0.25">
      <c r="A16" s="13" t="s">
        <v>33</v>
      </c>
      <c r="B16" s="14" t="s">
        <v>34</v>
      </c>
      <c r="C16" s="17">
        <v>5678</v>
      </c>
      <c r="D16" s="17">
        <v>5717</v>
      </c>
      <c r="E16" s="16">
        <f t="shared" si="0"/>
        <v>39</v>
      </c>
      <c r="F16" s="17">
        <v>39</v>
      </c>
      <c r="G16" s="17">
        <f t="shared" si="1"/>
        <v>0</v>
      </c>
      <c r="H16" s="18">
        <v>3000</v>
      </c>
      <c r="I16" s="19">
        <f t="shared" si="2"/>
        <v>70200</v>
      </c>
      <c r="J16" s="19">
        <f t="shared" si="3"/>
        <v>0</v>
      </c>
      <c r="K16" s="19">
        <f t="shared" si="4"/>
        <v>73200</v>
      </c>
      <c r="L16" s="23"/>
      <c r="M16" s="37" t="s">
        <v>307</v>
      </c>
    </row>
    <row r="17" spans="1:13" s="6" customFormat="1" ht="18" customHeight="1" x14ac:dyDescent="0.25">
      <c r="A17" s="13" t="s">
        <v>35</v>
      </c>
      <c r="B17" s="14" t="s">
        <v>36</v>
      </c>
      <c r="C17" s="17">
        <v>158</v>
      </c>
      <c r="D17" s="17">
        <v>160</v>
      </c>
      <c r="E17" s="16">
        <f>D17-C17</f>
        <v>2</v>
      </c>
      <c r="F17" s="17">
        <v>2</v>
      </c>
      <c r="G17" s="17">
        <f>(E17-F17)</f>
        <v>0</v>
      </c>
      <c r="H17" s="18">
        <v>3000</v>
      </c>
      <c r="I17" s="19">
        <f t="shared" si="2"/>
        <v>3600</v>
      </c>
      <c r="J17" s="19">
        <f>G17*3000</f>
        <v>0</v>
      </c>
      <c r="K17" s="19">
        <f t="shared" si="4"/>
        <v>6600</v>
      </c>
      <c r="L17" s="20"/>
    </row>
    <row r="18" spans="1:13" s="6" customFormat="1" ht="18" customHeight="1" x14ac:dyDescent="0.25">
      <c r="A18" s="13" t="s">
        <v>37</v>
      </c>
      <c r="B18" s="14" t="s">
        <v>38</v>
      </c>
      <c r="C18" s="17">
        <v>1062</v>
      </c>
      <c r="D18" s="17">
        <v>1071</v>
      </c>
      <c r="E18" s="16">
        <f t="shared" si="0"/>
        <v>9</v>
      </c>
      <c r="F18" s="17">
        <v>9</v>
      </c>
      <c r="G18" s="17">
        <f t="shared" si="1"/>
        <v>0</v>
      </c>
      <c r="H18" s="18">
        <v>3000</v>
      </c>
      <c r="I18" s="19">
        <f t="shared" si="2"/>
        <v>16200</v>
      </c>
      <c r="J18" s="19">
        <f t="shared" si="3"/>
        <v>0</v>
      </c>
      <c r="K18" s="19">
        <f t="shared" si="4"/>
        <v>19200</v>
      </c>
      <c r="L18" s="20"/>
    </row>
    <row r="19" spans="1:13" s="6" customFormat="1" ht="18" customHeight="1" x14ac:dyDescent="0.25">
      <c r="A19" s="13" t="s">
        <v>39</v>
      </c>
      <c r="B19" s="14" t="s">
        <v>40</v>
      </c>
      <c r="C19" s="17">
        <v>3720</v>
      </c>
      <c r="D19" s="17">
        <v>3745</v>
      </c>
      <c r="E19" s="16">
        <f t="shared" si="0"/>
        <v>25</v>
      </c>
      <c r="F19" s="17">
        <v>25</v>
      </c>
      <c r="G19" s="17">
        <f t="shared" si="1"/>
        <v>0</v>
      </c>
      <c r="H19" s="18">
        <v>3000</v>
      </c>
      <c r="I19" s="19">
        <f t="shared" si="2"/>
        <v>45000</v>
      </c>
      <c r="J19" s="19">
        <f t="shared" si="3"/>
        <v>0</v>
      </c>
      <c r="K19" s="19">
        <f t="shared" si="4"/>
        <v>48000</v>
      </c>
      <c r="L19" s="20"/>
      <c r="M19" s="37" t="s">
        <v>309</v>
      </c>
    </row>
    <row r="20" spans="1:13" s="6" customFormat="1" ht="18" customHeight="1" x14ac:dyDescent="0.25">
      <c r="A20" s="13" t="s">
        <v>41</v>
      </c>
      <c r="B20" s="14" t="s">
        <v>42</v>
      </c>
      <c r="C20" s="22">
        <v>3400</v>
      </c>
      <c r="D20" s="22">
        <v>3421</v>
      </c>
      <c r="E20" s="16">
        <f t="shared" si="0"/>
        <v>21</v>
      </c>
      <c r="F20" s="17">
        <v>21</v>
      </c>
      <c r="G20" s="17">
        <f t="shared" si="1"/>
        <v>0</v>
      </c>
      <c r="H20" s="18">
        <v>3000</v>
      </c>
      <c r="I20" s="19">
        <f t="shared" si="2"/>
        <v>37800</v>
      </c>
      <c r="J20" s="19">
        <f t="shared" si="3"/>
        <v>0</v>
      </c>
      <c r="K20" s="19">
        <f t="shared" si="4"/>
        <v>40800</v>
      </c>
      <c r="L20" s="20"/>
      <c r="M20" s="37" t="s">
        <v>310</v>
      </c>
    </row>
    <row r="21" spans="1:13" s="6" customFormat="1" ht="18" customHeight="1" x14ac:dyDescent="0.25">
      <c r="A21" s="13" t="s">
        <v>43</v>
      </c>
      <c r="B21" s="14" t="s">
        <v>44</v>
      </c>
      <c r="C21" s="17">
        <v>1088</v>
      </c>
      <c r="D21" s="17">
        <v>1091</v>
      </c>
      <c r="E21" s="16">
        <f t="shared" si="0"/>
        <v>3</v>
      </c>
      <c r="F21" s="17">
        <v>3</v>
      </c>
      <c r="G21" s="17">
        <f t="shared" si="1"/>
        <v>0</v>
      </c>
      <c r="H21" s="18">
        <v>3000</v>
      </c>
      <c r="I21" s="19">
        <f t="shared" si="2"/>
        <v>5400</v>
      </c>
      <c r="J21" s="19">
        <f t="shared" si="3"/>
        <v>0</v>
      </c>
      <c r="K21" s="19">
        <f t="shared" si="4"/>
        <v>8400</v>
      </c>
      <c r="L21" s="20"/>
    </row>
    <row r="22" spans="1:13" s="6" customFormat="1" ht="18" customHeight="1" x14ac:dyDescent="0.25">
      <c r="A22" s="13" t="s">
        <v>45</v>
      </c>
      <c r="B22" s="14" t="s">
        <v>46</v>
      </c>
      <c r="C22" s="22">
        <v>1708</v>
      </c>
      <c r="D22" s="22">
        <v>1720</v>
      </c>
      <c r="E22" s="16">
        <f t="shared" si="0"/>
        <v>12</v>
      </c>
      <c r="F22" s="17">
        <v>12</v>
      </c>
      <c r="G22" s="17">
        <f t="shared" si="1"/>
        <v>0</v>
      </c>
      <c r="H22" s="18">
        <v>3000</v>
      </c>
      <c r="I22" s="19">
        <f t="shared" si="2"/>
        <v>21600</v>
      </c>
      <c r="J22" s="19">
        <f t="shared" si="3"/>
        <v>0</v>
      </c>
      <c r="K22" s="19">
        <f t="shared" si="4"/>
        <v>24600</v>
      </c>
      <c r="L22" s="20"/>
      <c r="M22" s="37" t="s">
        <v>311</v>
      </c>
    </row>
    <row r="23" spans="1:13" s="6" customFormat="1" ht="18" customHeight="1" x14ac:dyDescent="0.25">
      <c r="A23" s="13" t="s">
        <v>47</v>
      </c>
      <c r="B23" s="14" t="s">
        <v>48</v>
      </c>
      <c r="C23" s="17">
        <v>1625</v>
      </c>
      <c r="D23" s="17">
        <v>1640</v>
      </c>
      <c r="E23" s="16">
        <f t="shared" si="0"/>
        <v>15</v>
      </c>
      <c r="F23" s="17">
        <v>15</v>
      </c>
      <c r="G23" s="17">
        <f t="shared" si="1"/>
        <v>0</v>
      </c>
      <c r="H23" s="18"/>
      <c r="I23" s="19"/>
      <c r="J23" s="19"/>
      <c r="K23" s="19"/>
      <c r="L23" s="20"/>
    </row>
    <row r="24" spans="1:13" s="6" customFormat="1" ht="18" customHeight="1" x14ac:dyDescent="0.25">
      <c r="A24" s="13" t="s">
        <v>49</v>
      </c>
      <c r="B24" s="14" t="s">
        <v>50</v>
      </c>
      <c r="C24" s="17">
        <v>2266</v>
      </c>
      <c r="D24" s="17">
        <v>2268</v>
      </c>
      <c r="E24" s="16">
        <f t="shared" si="0"/>
        <v>2</v>
      </c>
      <c r="F24" s="17">
        <v>2</v>
      </c>
      <c r="G24" s="17">
        <f t="shared" si="1"/>
        <v>0</v>
      </c>
      <c r="H24" s="18">
        <v>3000</v>
      </c>
      <c r="I24" s="19">
        <f>F24*1800</f>
        <v>3600</v>
      </c>
      <c r="J24" s="19">
        <f t="shared" si="3"/>
        <v>0</v>
      </c>
      <c r="K24" s="19">
        <f t="shared" si="4"/>
        <v>6600</v>
      </c>
      <c r="L24" s="20"/>
      <c r="M24" s="37" t="s">
        <v>313</v>
      </c>
    </row>
    <row r="25" spans="1:13" s="6" customFormat="1" ht="18" customHeight="1" x14ac:dyDescent="0.25">
      <c r="A25" s="13" t="s">
        <v>51</v>
      </c>
      <c r="B25" s="14" t="s">
        <v>52</v>
      </c>
      <c r="C25" s="22">
        <v>3680</v>
      </c>
      <c r="D25" s="22">
        <v>3692</v>
      </c>
      <c r="E25" s="16">
        <f t="shared" si="0"/>
        <v>12</v>
      </c>
      <c r="F25" s="17">
        <v>12</v>
      </c>
      <c r="G25" s="17">
        <f t="shared" si="1"/>
        <v>0</v>
      </c>
      <c r="H25" s="18">
        <v>3000</v>
      </c>
      <c r="I25" s="19">
        <f t="shared" ref="I25:I89" si="5">F25*1800</f>
        <v>21600</v>
      </c>
      <c r="J25" s="19">
        <f t="shared" si="3"/>
        <v>0</v>
      </c>
      <c r="K25" s="19">
        <f t="shared" si="4"/>
        <v>24600</v>
      </c>
      <c r="L25" s="20"/>
      <c r="M25" s="37" t="s">
        <v>312</v>
      </c>
    </row>
    <row r="26" spans="1:13" s="6" customFormat="1" ht="18" customHeight="1" x14ac:dyDescent="0.25">
      <c r="A26" s="13" t="s">
        <v>53</v>
      </c>
      <c r="B26" s="14" t="s">
        <v>54</v>
      </c>
      <c r="C26" s="22">
        <v>1880</v>
      </c>
      <c r="D26" s="22">
        <v>1899</v>
      </c>
      <c r="E26" s="16">
        <f t="shared" si="0"/>
        <v>19</v>
      </c>
      <c r="F26" s="17">
        <v>19</v>
      </c>
      <c r="G26" s="17">
        <f t="shared" si="1"/>
        <v>0</v>
      </c>
      <c r="H26" s="18">
        <v>3000</v>
      </c>
      <c r="I26" s="19">
        <f t="shared" si="5"/>
        <v>34200</v>
      </c>
      <c r="J26" s="19">
        <f t="shared" si="3"/>
        <v>0</v>
      </c>
      <c r="K26" s="19">
        <f t="shared" si="4"/>
        <v>37200</v>
      </c>
      <c r="L26" s="20"/>
      <c r="M26" s="37" t="s">
        <v>314</v>
      </c>
    </row>
    <row r="27" spans="1:13" s="6" customFormat="1" ht="18" customHeight="1" x14ac:dyDescent="0.25">
      <c r="A27" s="13" t="s">
        <v>55</v>
      </c>
      <c r="B27" s="24" t="s">
        <v>56</v>
      </c>
      <c r="C27" s="22">
        <v>210</v>
      </c>
      <c r="D27" s="22">
        <v>232</v>
      </c>
      <c r="E27" s="17">
        <f>D27-C27</f>
        <v>22</v>
      </c>
      <c r="F27" s="25">
        <v>22</v>
      </c>
      <c r="G27" s="25">
        <f>(E27-F27)</f>
        <v>0</v>
      </c>
      <c r="H27" s="18">
        <v>3000</v>
      </c>
      <c r="I27" s="19">
        <f>F27*1800</f>
        <v>39600</v>
      </c>
      <c r="J27" s="19">
        <f>G27*3000</f>
        <v>0</v>
      </c>
      <c r="K27" s="19">
        <f>H27+I27+J27</f>
        <v>42600</v>
      </c>
      <c r="L27" s="26"/>
      <c r="M27" s="37" t="s">
        <v>315</v>
      </c>
    </row>
    <row r="28" spans="1:13" s="6" customFormat="1" ht="18" customHeight="1" x14ac:dyDescent="0.25">
      <c r="A28" s="13" t="s">
        <v>57</v>
      </c>
      <c r="B28" s="14" t="s">
        <v>58</v>
      </c>
      <c r="C28" s="17">
        <v>1225</v>
      </c>
      <c r="D28" s="17">
        <v>1226</v>
      </c>
      <c r="E28" s="16">
        <f t="shared" si="0"/>
        <v>1</v>
      </c>
      <c r="F28" s="17">
        <v>1</v>
      </c>
      <c r="G28" s="17">
        <f t="shared" si="1"/>
        <v>0</v>
      </c>
      <c r="H28" s="18">
        <v>3000</v>
      </c>
      <c r="I28" s="19">
        <f t="shared" si="5"/>
        <v>1800</v>
      </c>
      <c r="J28" s="19">
        <f t="shared" si="3"/>
        <v>0</v>
      </c>
      <c r="K28" s="19">
        <f t="shared" si="4"/>
        <v>4800</v>
      </c>
      <c r="L28" s="23"/>
      <c r="M28" s="37" t="s">
        <v>316</v>
      </c>
    </row>
    <row r="29" spans="1:13" s="6" customFormat="1" ht="18" customHeight="1" x14ac:dyDescent="0.25">
      <c r="A29" s="13" t="s">
        <v>59</v>
      </c>
      <c r="B29" s="14" t="s">
        <v>60</v>
      </c>
      <c r="C29" s="17">
        <v>433</v>
      </c>
      <c r="D29" s="17">
        <v>433</v>
      </c>
      <c r="E29" s="16">
        <f t="shared" si="0"/>
        <v>0</v>
      </c>
      <c r="F29" s="17">
        <v>0</v>
      </c>
      <c r="G29" s="17">
        <f t="shared" si="1"/>
        <v>0</v>
      </c>
      <c r="H29" s="18">
        <v>3000</v>
      </c>
      <c r="I29" s="19">
        <f t="shared" si="5"/>
        <v>0</v>
      </c>
      <c r="J29" s="19">
        <f t="shared" si="3"/>
        <v>0</v>
      </c>
      <c r="K29" s="19">
        <f t="shared" si="4"/>
        <v>3000</v>
      </c>
      <c r="L29" s="20"/>
    </row>
    <row r="30" spans="1:13" s="6" customFormat="1" ht="18" customHeight="1" x14ac:dyDescent="0.25">
      <c r="A30" s="13" t="s">
        <v>61</v>
      </c>
      <c r="B30" s="14" t="s">
        <v>62</v>
      </c>
      <c r="C30" s="17">
        <v>1016</v>
      </c>
      <c r="D30" s="17">
        <v>1033</v>
      </c>
      <c r="E30" s="16">
        <f t="shared" si="0"/>
        <v>17</v>
      </c>
      <c r="F30" s="17">
        <v>17</v>
      </c>
      <c r="G30" s="17">
        <f t="shared" si="1"/>
        <v>0</v>
      </c>
      <c r="H30" s="18">
        <v>3000</v>
      </c>
      <c r="I30" s="19">
        <f t="shared" si="5"/>
        <v>30600</v>
      </c>
      <c r="J30" s="19">
        <f t="shared" si="3"/>
        <v>0</v>
      </c>
      <c r="K30" s="19">
        <f t="shared" si="4"/>
        <v>33600</v>
      </c>
      <c r="L30" s="20"/>
      <c r="M30" s="37" t="s">
        <v>317</v>
      </c>
    </row>
    <row r="31" spans="1:13" s="6" customFormat="1" ht="18" customHeight="1" x14ac:dyDescent="0.25">
      <c r="A31" s="13" t="s">
        <v>63</v>
      </c>
      <c r="B31" s="14" t="s">
        <v>64</v>
      </c>
      <c r="C31" s="17">
        <v>3079</v>
      </c>
      <c r="D31" s="17">
        <v>3091</v>
      </c>
      <c r="E31" s="16">
        <f t="shared" si="0"/>
        <v>12</v>
      </c>
      <c r="F31" s="17">
        <v>12</v>
      </c>
      <c r="G31" s="17">
        <f t="shared" si="1"/>
        <v>0</v>
      </c>
      <c r="H31" s="18">
        <v>3000</v>
      </c>
      <c r="I31" s="19">
        <f t="shared" si="5"/>
        <v>21600</v>
      </c>
      <c r="J31" s="19">
        <f t="shared" si="3"/>
        <v>0</v>
      </c>
      <c r="K31" s="19">
        <f t="shared" si="4"/>
        <v>24600</v>
      </c>
      <c r="L31" s="20"/>
      <c r="M31" s="37" t="s">
        <v>318</v>
      </c>
    </row>
    <row r="32" spans="1:13" s="6" customFormat="1" ht="18" customHeight="1" x14ac:dyDescent="0.25">
      <c r="A32" s="13" t="s">
        <v>65</v>
      </c>
      <c r="B32" s="14" t="s">
        <v>66</v>
      </c>
      <c r="C32" s="22">
        <v>594</v>
      </c>
      <c r="D32" s="22">
        <v>594</v>
      </c>
      <c r="E32" s="16">
        <f t="shared" si="0"/>
        <v>0</v>
      </c>
      <c r="F32" s="17">
        <v>0</v>
      </c>
      <c r="G32" s="17">
        <f t="shared" si="1"/>
        <v>0</v>
      </c>
      <c r="H32" s="18">
        <v>3000</v>
      </c>
      <c r="I32" s="19">
        <f t="shared" si="5"/>
        <v>0</v>
      </c>
      <c r="J32" s="19">
        <f t="shared" si="3"/>
        <v>0</v>
      </c>
      <c r="K32" s="19">
        <f t="shared" si="4"/>
        <v>3000</v>
      </c>
      <c r="L32" s="20"/>
    </row>
    <row r="33" spans="1:13" s="6" customFormat="1" ht="18" customHeight="1" x14ac:dyDescent="0.25">
      <c r="A33" s="13" t="s">
        <v>67</v>
      </c>
      <c r="B33" s="14" t="s">
        <v>68</v>
      </c>
      <c r="C33" s="22">
        <v>2643</v>
      </c>
      <c r="D33" s="22">
        <v>2646</v>
      </c>
      <c r="E33" s="16">
        <f t="shared" si="0"/>
        <v>3</v>
      </c>
      <c r="F33" s="17">
        <v>3</v>
      </c>
      <c r="G33" s="17">
        <f t="shared" si="1"/>
        <v>0</v>
      </c>
      <c r="H33" s="18">
        <v>3000</v>
      </c>
      <c r="I33" s="19">
        <f t="shared" si="5"/>
        <v>5400</v>
      </c>
      <c r="J33" s="19">
        <f t="shared" si="3"/>
        <v>0</v>
      </c>
      <c r="K33" s="19">
        <f t="shared" si="4"/>
        <v>8400</v>
      </c>
      <c r="L33" s="20"/>
      <c r="M33" s="37" t="s">
        <v>319</v>
      </c>
    </row>
    <row r="34" spans="1:13" s="6" customFormat="1" ht="18" customHeight="1" x14ac:dyDescent="0.25">
      <c r="A34" s="13" t="s">
        <v>69</v>
      </c>
      <c r="B34" s="14" t="s">
        <v>70</v>
      </c>
      <c r="C34" s="17">
        <v>473</v>
      </c>
      <c r="D34" s="17">
        <v>478</v>
      </c>
      <c r="E34" s="16">
        <f t="shared" si="0"/>
        <v>5</v>
      </c>
      <c r="F34" s="17">
        <v>5</v>
      </c>
      <c r="G34" s="17">
        <f t="shared" si="1"/>
        <v>0</v>
      </c>
      <c r="H34" s="18">
        <v>3000</v>
      </c>
      <c r="I34" s="19">
        <f t="shared" si="5"/>
        <v>9000</v>
      </c>
      <c r="J34" s="19">
        <f t="shared" si="3"/>
        <v>0</v>
      </c>
      <c r="K34" s="19">
        <f t="shared" si="4"/>
        <v>12000</v>
      </c>
      <c r="L34" s="20"/>
    </row>
    <row r="35" spans="1:13" s="6" customFormat="1" ht="18" customHeight="1" x14ac:dyDescent="0.25">
      <c r="A35" s="13" t="s">
        <v>71</v>
      </c>
      <c r="B35" s="14" t="s">
        <v>72</v>
      </c>
      <c r="C35" s="17">
        <v>715</v>
      </c>
      <c r="D35" s="17">
        <v>721</v>
      </c>
      <c r="E35" s="16">
        <f t="shared" si="0"/>
        <v>6</v>
      </c>
      <c r="F35" s="17">
        <v>6</v>
      </c>
      <c r="G35" s="17">
        <f t="shared" si="1"/>
        <v>0</v>
      </c>
      <c r="H35" s="18">
        <v>3000</v>
      </c>
      <c r="I35" s="19">
        <f t="shared" si="5"/>
        <v>10800</v>
      </c>
      <c r="J35" s="19">
        <f t="shared" si="3"/>
        <v>0</v>
      </c>
      <c r="K35" s="19">
        <f t="shared" si="4"/>
        <v>13800</v>
      </c>
      <c r="L35" s="27"/>
      <c r="M35" s="37" t="s">
        <v>320</v>
      </c>
    </row>
    <row r="36" spans="1:13" s="6" customFormat="1" ht="18" customHeight="1" x14ac:dyDescent="0.25">
      <c r="A36" s="13" t="s">
        <v>73</v>
      </c>
      <c r="B36" s="14" t="s">
        <v>74</v>
      </c>
      <c r="C36" s="22">
        <v>2328</v>
      </c>
      <c r="D36" s="22">
        <v>2340</v>
      </c>
      <c r="E36" s="16">
        <f t="shared" si="0"/>
        <v>12</v>
      </c>
      <c r="F36" s="17">
        <v>12</v>
      </c>
      <c r="G36" s="17">
        <f t="shared" si="1"/>
        <v>0</v>
      </c>
      <c r="H36" s="18">
        <v>3000</v>
      </c>
      <c r="I36" s="19">
        <f t="shared" si="5"/>
        <v>21600</v>
      </c>
      <c r="J36" s="19">
        <f t="shared" si="3"/>
        <v>0</v>
      </c>
      <c r="K36" s="19">
        <f t="shared" si="4"/>
        <v>24600</v>
      </c>
      <c r="L36" s="27"/>
      <c r="M36" s="37" t="s">
        <v>321</v>
      </c>
    </row>
    <row r="37" spans="1:13" s="6" customFormat="1" ht="18" customHeight="1" x14ac:dyDescent="0.25">
      <c r="A37" s="13" t="s">
        <v>75</v>
      </c>
      <c r="B37" s="14" t="s">
        <v>76</v>
      </c>
      <c r="C37" s="22">
        <v>2056</v>
      </c>
      <c r="D37" s="22">
        <v>2065</v>
      </c>
      <c r="E37" s="16">
        <f t="shared" si="0"/>
        <v>9</v>
      </c>
      <c r="F37" s="17">
        <v>9</v>
      </c>
      <c r="G37" s="17">
        <f t="shared" si="1"/>
        <v>0</v>
      </c>
      <c r="H37" s="18">
        <v>3000</v>
      </c>
      <c r="I37" s="19">
        <f t="shared" si="5"/>
        <v>16200</v>
      </c>
      <c r="J37" s="19">
        <f t="shared" si="3"/>
        <v>0</v>
      </c>
      <c r="K37" s="19">
        <f t="shared" si="4"/>
        <v>19200</v>
      </c>
      <c r="L37" s="23"/>
    </row>
    <row r="38" spans="1:13" s="6" customFormat="1" ht="18" customHeight="1" x14ac:dyDescent="0.25">
      <c r="A38" s="13" t="s">
        <v>77</v>
      </c>
      <c r="B38" s="14" t="s">
        <v>78</v>
      </c>
      <c r="C38" s="17">
        <v>1351</v>
      </c>
      <c r="D38" s="17">
        <v>1368</v>
      </c>
      <c r="E38" s="16">
        <f t="shared" si="0"/>
        <v>17</v>
      </c>
      <c r="F38" s="17">
        <v>17</v>
      </c>
      <c r="G38" s="17">
        <f t="shared" si="1"/>
        <v>0</v>
      </c>
      <c r="H38" s="18">
        <v>3000</v>
      </c>
      <c r="I38" s="19">
        <f t="shared" si="5"/>
        <v>30600</v>
      </c>
      <c r="J38" s="19">
        <f t="shared" si="3"/>
        <v>0</v>
      </c>
      <c r="K38" s="19">
        <f t="shared" si="4"/>
        <v>33600</v>
      </c>
      <c r="L38" s="27"/>
      <c r="M38" s="37" t="s">
        <v>322</v>
      </c>
    </row>
    <row r="39" spans="1:13" s="6" customFormat="1" ht="18" customHeight="1" x14ac:dyDescent="0.25">
      <c r="A39" s="13" t="s">
        <v>79</v>
      </c>
      <c r="B39" s="14" t="s">
        <v>80</v>
      </c>
      <c r="C39" s="17">
        <v>1392</v>
      </c>
      <c r="D39" s="17">
        <v>1408</v>
      </c>
      <c r="E39" s="16">
        <f t="shared" si="0"/>
        <v>16</v>
      </c>
      <c r="F39" s="17">
        <v>16</v>
      </c>
      <c r="G39" s="17">
        <f t="shared" si="1"/>
        <v>0</v>
      </c>
      <c r="H39" s="18">
        <v>3000</v>
      </c>
      <c r="I39" s="19">
        <f t="shared" si="5"/>
        <v>28800</v>
      </c>
      <c r="J39" s="19">
        <f t="shared" si="3"/>
        <v>0</v>
      </c>
      <c r="K39" s="19">
        <f t="shared" si="4"/>
        <v>31800</v>
      </c>
      <c r="L39" s="27"/>
    </row>
    <row r="40" spans="1:13" s="6" customFormat="1" ht="18" customHeight="1" x14ac:dyDescent="0.25">
      <c r="A40" s="13" t="s">
        <v>81</v>
      </c>
      <c r="B40" s="14" t="s">
        <v>82</v>
      </c>
      <c r="C40" s="17">
        <v>10</v>
      </c>
      <c r="D40" s="17">
        <v>11</v>
      </c>
      <c r="E40" s="16">
        <f t="shared" si="0"/>
        <v>1</v>
      </c>
      <c r="F40" s="17">
        <v>1</v>
      </c>
      <c r="G40" s="17">
        <f t="shared" si="1"/>
        <v>0</v>
      </c>
      <c r="H40" s="18">
        <v>3000</v>
      </c>
      <c r="I40" s="19">
        <f t="shared" si="5"/>
        <v>1800</v>
      </c>
      <c r="J40" s="19">
        <f t="shared" si="3"/>
        <v>0</v>
      </c>
      <c r="K40" s="19">
        <f t="shared" si="4"/>
        <v>4800</v>
      </c>
      <c r="L40" s="27"/>
    </row>
    <row r="41" spans="1:13" s="6" customFormat="1" ht="18" customHeight="1" x14ac:dyDescent="0.25">
      <c r="A41" s="13" t="s">
        <v>83</v>
      </c>
      <c r="B41" s="14" t="s">
        <v>84</v>
      </c>
      <c r="C41" s="17">
        <v>1182</v>
      </c>
      <c r="D41" s="17">
        <v>1184</v>
      </c>
      <c r="E41" s="15">
        <f t="shared" si="0"/>
        <v>2</v>
      </c>
      <c r="F41" s="17">
        <v>2</v>
      </c>
      <c r="G41" s="17">
        <f t="shared" si="1"/>
        <v>0</v>
      </c>
      <c r="H41" s="18"/>
      <c r="I41" s="19"/>
      <c r="J41" s="19"/>
      <c r="K41" s="19"/>
      <c r="L41" s="20"/>
    </row>
    <row r="42" spans="1:13" s="6" customFormat="1" ht="18" customHeight="1" x14ac:dyDescent="0.25">
      <c r="A42" s="13" t="s">
        <v>85</v>
      </c>
      <c r="B42" s="14" t="s">
        <v>86</v>
      </c>
      <c r="C42" s="17">
        <v>1206</v>
      </c>
      <c r="D42" s="17">
        <v>1212</v>
      </c>
      <c r="E42" s="15">
        <f t="shared" si="0"/>
        <v>6</v>
      </c>
      <c r="F42" s="17">
        <v>6</v>
      </c>
      <c r="G42" s="17">
        <f t="shared" si="1"/>
        <v>0</v>
      </c>
      <c r="H42" s="18">
        <v>3000</v>
      </c>
      <c r="I42" s="19">
        <f t="shared" si="5"/>
        <v>10800</v>
      </c>
      <c r="J42" s="19">
        <f t="shared" si="3"/>
        <v>0</v>
      </c>
      <c r="K42" s="19">
        <f t="shared" ref="K42:K105" si="6">H42+I42+J42</f>
        <v>13800</v>
      </c>
      <c r="L42" s="20"/>
    </row>
    <row r="43" spans="1:13" s="6" customFormat="1" ht="18" customHeight="1" x14ac:dyDescent="0.25">
      <c r="A43" s="13" t="s">
        <v>87</v>
      </c>
      <c r="B43" s="14" t="s">
        <v>88</v>
      </c>
      <c r="C43" s="17">
        <v>2585</v>
      </c>
      <c r="D43" s="17">
        <v>2610</v>
      </c>
      <c r="E43" s="16">
        <f t="shared" si="0"/>
        <v>25</v>
      </c>
      <c r="F43" s="17">
        <v>25</v>
      </c>
      <c r="G43" s="17">
        <f t="shared" si="1"/>
        <v>0</v>
      </c>
      <c r="H43" s="18">
        <v>3000</v>
      </c>
      <c r="I43" s="19">
        <f t="shared" si="5"/>
        <v>45000</v>
      </c>
      <c r="J43" s="19">
        <f t="shared" si="3"/>
        <v>0</v>
      </c>
      <c r="K43" s="19">
        <f t="shared" si="6"/>
        <v>48000</v>
      </c>
      <c r="L43" s="20"/>
      <c r="M43" s="37" t="s">
        <v>323</v>
      </c>
    </row>
    <row r="44" spans="1:13" s="6" customFormat="1" ht="18" customHeight="1" x14ac:dyDescent="0.25">
      <c r="A44" s="13" t="s">
        <v>89</v>
      </c>
      <c r="B44" s="14" t="s">
        <v>90</v>
      </c>
      <c r="C44" s="17">
        <v>3186</v>
      </c>
      <c r="D44" s="17">
        <v>3208</v>
      </c>
      <c r="E44" s="16">
        <f t="shared" si="0"/>
        <v>22</v>
      </c>
      <c r="F44" s="17">
        <v>22</v>
      </c>
      <c r="G44" s="17">
        <f t="shared" si="1"/>
        <v>0</v>
      </c>
      <c r="H44" s="18">
        <v>3000</v>
      </c>
      <c r="I44" s="19">
        <f t="shared" si="5"/>
        <v>39600</v>
      </c>
      <c r="J44" s="19">
        <f t="shared" si="3"/>
        <v>0</v>
      </c>
      <c r="K44" s="19">
        <f t="shared" si="6"/>
        <v>42600</v>
      </c>
      <c r="L44" s="20"/>
    </row>
    <row r="45" spans="1:13" s="6" customFormat="1" ht="18" customHeight="1" x14ac:dyDescent="0.25">
      <c r="A45" s="13" t="s">
        <v>91</v>
      </c>
      <c r="B45" s="14" t="s">
        <v>92</v>
      </c>
      <c r="C45" s="17">
        <v>2195</v>
      </c>
      <c r="D45" s="17">
        <v>2216</v>
      </c>
      <c r="E45" s="16">
        <f t="shared" si="0"/>
        <v>21</v>
      </c>
      <c r="F45" s="17">
        <v>21</v>
      </c>
      <c r="G45" s="17">
        <f t="shared" si="1"/>
        <v>0</v>
      </c>
      <c r="H45" s="18">
        <v>3000</v>
      </c>
      <c r="I45" s="19">
        <f t="shared" si="5"/>
        <v>37800</v>
      </c>
      <c r="J45" s="19">
        <f t="shared" si="3"/>
        <v>0</v>
      </c>
      <c r="K45" s="19">
        <f t="shared" si="6"/>
        <v>40800</v>
      </c>
      <c r="L45" s="20"/>
      <c r="M45" s="37" t="s">
        <v>324</v>
      </c>
    </row>
    <row r="46" spans="1:13" s="6" customFormat="1" ht="18" customHeight="1" x14ac:dyDescent="0.25">
      <c r="A46" s="13" t="s">
        <v>93</v>
      </c>
      <c r="B46" s="14" t="s">
        <v>94</v>
      </c>
      <c r="C46" s="17">
        <v>2135</v>
      </c>
      <c r="D46" s="17">
        <v>2148</v>
      </c>
      <c r="E46" s="16">
        <f t="shared" si="0"/>
        <v>13</v>
      </c>
      <c r="F46" s="17">
        <v>13</v>
      </c>
      <c r="G46" s="17">
        <f t="shared" si="1"/>
        <v>0</v>
      </c>
      <c r="H46" s="18">
        <v>3000</v>
      </c>
      <c r="I46" s="19">
        <f t="shared" si="5"/>
        <v>23400</v>
      </c>
      <c r="J46" s="19">
        <f t="shared" si="3"/>
        <v>0</v>
      </c>
      <c r="K46" s="19">
        <f t="shared" si="6"/>
        <v>26400</v>
      </c>
      <c r="L46" s="23"/>
      <c r="M46" s="37" t="s">
        <v>325</v>
      </c>
    </row>
    <row r="47" spans="1:13" s="6" customFormat="1" ht="18" customHeight="1" x14ac:dyDescent="0.25">
      <c r="A47" s="13" t="s">
        <v>95</v>
      </c>
      <c r="B47" s="14" t="s">
        <v>96</v>
      </c>
      <c r="C47" s="22">
        <v>6018</v>
      </c>
      <c r="D47" s="22">
        <v>6052</v>
      </c>
      <c r="E47" s="16">
        <f t="shared" si="0"/>
        <v>34</v>
      </c>
      <c r="F47" s="17">
        <v>34</v>
      </c>
      <c r="G47" s="17">
        <f t="shared" si="1"/>
        <v>0</v>
      </c>
      <c r="H47" s="18">
        <v>3000</v>
      </c>
      <c r="I47" s="19">
        <f t="shared" si="5"/>
        <v>61200</v>
      </c>
      <c r="J47" s="19">
        <f t="shared" si="3"/>
        <v>0</v>
      </c>
      <c r="K47" s="19">
        <f t="shared" si="6"/>
        <v>64200</v>
      </c>
      <c r="L47" s="20"/>
      <c r="M47" s="37" t="s">
        <v>327</v>
      </c>
    </row>
    <row r="48" spans="1:13" s="6" customFormat="1" ht="18" customHeight="1" x14ac:dyDescent="0.25">
      <c r="A48" s="13" t="s">
        <v>97</v>
      </c>
      <c r="B48" s="14" t="s">
        <v>98</v>
      </c>
      <c r="C48" s="17">
        <v>1808</v>
      </c>
      <c r="D48" s="17">
        <v>1814</v>
      </c>
      <c r="E48" s="16">
        <f t="shared" si="0"/>
        <v>6</v>
      </c>
      <c r="F48" s="17">
        <v>6</v>
      </c>
      <c r="G48" s="17">
        <f t="shared" si="1"/>
        <v>0</v>
      </c>
      <c r="H48" s="18">
        <v>3000</v>
      </c>
      <c r="I48" s="19">
        <f t="shared" si="5"/>
        <v>10800</v>
      </c>
      <c r="J48" s="19">
        <f t="shared" si="3"/>
        <v>0</v>
      </c>
      <c r="K48" s="19">
        <f t="shared" si="6"/>
        <v>13800</v>
      </c>
      <c r="L48" s="20"/>
      <c r="M48" s="28"/>
    </row>
    <row r="49" spans="1:13" s="6" customFormat="1" ht="18" customHeight="1" x14ac:dyDescent="0.25">
      <c r="A49" s="13" t="s">
        <v>99</v>
      </c>
      <c r="B49" s="14" t="s">
        <v>100</v>
      </c>
      <c r="C49" s="22">
        <v>5065</v>
      </c>
      <c r="D49" s="22">
        <v>5112</v>
      </c>
      <c r="E49" s="16">
        <f t="shared" si="0"/>
        <v>47</v>
      </c>
      <c r="F49" s="17">
        <v>40</v>
      </c>
      <c r="G49" s="17">
        <f t="shared" si="1"/>
        <v>7</v>
      </c>
      <c r="H49" s="18">
        <v>3000</v>
      </c>
      <c r="I49" s="19">
        <f t="shared" si="5"/>
        <v>72000</v>
      </c>
      <c r="J49" s="19">
        <f t="shared" si="3"/>
        <v>21000</v>
      </c>
      <c r="K49" s="19">
        <f t="shared" si="6"/>
        <v>96000</v>
      </c>
      <c r="L49" s="20"/>
      <c r="M49" s="37" t="s">
        <v>326</v>
      </c>
    </row>
    <row r="50" spans="1:13" s="6" customFormat="1" ht="18" customHeight="1" x14ac:dyDescent="0.25">
      <c r="A50" s="13" t="s">
        <v>101</v>
      </c>
      <c r="B50" s="14" t="s">
        <v>102</v>
      </c>
      <c r="C50" s="17">
        <v>37</v>
      </c>
      <c r="D50" s="17">
        <v>37</v>
      </c>
      <c r="E50" s="16">
        <f t="shared" si="0"/>
        <v>0</v>
      </c>
      <c r="F50" s="17">
        <v>0</v>
      </c>
      <c r="G50" s="17">
        <f t="shared" si="1"/>
        <v>0</v>
      </c>
      <c r="H50" s="18">
        <v>3000</v>
      </c>
      <c r="I50" s="19">
        <f t="shared" si="5"/>
        <v>0</v>
      </c>
      <c r="J50" s="19">
        <f t="shared" si="3"/>
        <v>0</v>
      </c>
      <c r="K50" s="19">
        <f t="shared" si="6"/>
        <v>3000</v>
      </c>
      <c r="L50" s="23"/>
    </row>
    <row r="51" spans="1:13" s="6" customFormat="1" ht="18" customHeight="1" x14ac:dyDescent="0.25">
      <c r="A51" s="13" t="s">
        <v>103</v>
      </c>
      <c r="B51" s="14" t="s">
        <v>104</v>
      </c>
      <c r="C51" s="17">
        <v>3841</v>
      </c>
      <c r="D51" s="17">
        <v>3874</v>
      </c>
      <c r="E51" s="16">
        <f t="shared" si="0"/>
        <v>33</v>
      </c>
      <c r="F51" s="17">
        <v>33</v>
      </c>
      <c r="G51" s="17">
        <f t="shared" si="1"/>
        <v>0</v>
      </c>
      <c r="H51" s="18">
        <v>3000</v>
      </c>
      <c r="I51" s="19">
        <f t="shared" si="5"/>
        <v>59400</v>
      </c>
      <c r="J51" s="19">
        <f t="shared" si="3"/>
        <v>0</v>
      </c>
      <c r="K51" s="19">
        <f t="shared" si="6"/>
        <v>62400</v>
      </c>
      <c r="L51" s="23"/>
      <c r="M51" s="37" t="s">
        <v>328</v>
      </c>
    </row>
    <row r="52" spans="1:13" s="6" customFormat="1" ht="18" customHeight="1" x14ac:dyDescent="0.25">
      <c r="A52" s="13" t="s">
        <v>105</v>
      </c>
      <c r="B52" s="14" t="s">
        <v>106</v>
      </c>
      <c r="C52" s="17">
        <v>3938</v>
      </c>
      <c r="D52" s="17">
        <v>3967</v>
      </c>
      <c r="E52" s="16">
        <f t="shared" si="0"/>
        <v>29</v>
      </c>
      <c r="F52" s="17">
        <v>29</v>
      </c>
      <c r="G52" s="17">
        <f t="shared" si="1"/>
        <v>0</v>
      </c>
      <c r="H52" s="18">
        <v>3000</v>
      </c>
      <c r="I52" s="19">
        <f t="shared" si="5"/>
        <v>52200</v>
      </c>
      <c r="J52" s="19">
        <f t="shared" si="3"/>
        <v>0</v>
      </c>
      <c r="K52" s="19">
        <f t="shared" si="6"/>
        <v>55200</v>
      </c>
      <c r="L52" s="20"/>
      <c r="M52" s="37" t="s">
        <v>329</v>
      </c>
    </row>
    <row r="53" spans="1:13" s="6" customFormat="1" ht="18" customHeight="1" x14ac:dyDescent="0.25">
      <c r="A53" s="13" t="s">
        <v>107</v>
      </c>
      <c r="B53" s="14" t="s">
        <v>108</v>
      </c>
      <c r="C53" s="22">
        <v>1366</v>
      </c>
      <c r="D53" s="22">
        <v>1369</v>
      </c>
      <c r="E53" s="16">
        <f t="shared" si="0"/>
        <v>3</v>
      </c>
      <c r="F53" s="17">
        <v>3</v>
      </c>
      <c r="G53" s="17">
        <f t="shared" si="1"/>
        <v>0</v>
      </c>
      <c r="H53" s="18">
        <v>3000</v>
      </c>
      <c r="I53" s="19">
        <f t="shared" si="5"/>
        <v>5400</v>
      </c>
      <c r="J53" s="19">
        <f t="shared" si="3"/>
        <v>0</v>
      </c>
      <c r="K53" s="19">
        <f t="shared" si="6"/>
        <v>8400</v>
      </c>
      <c r="L53" s="20"/>
      <c r="M53" s="37" t="s">
        <v>330</v>
      </c>
    </row>
    <row r="54" spans="1:13" s="6" customFormat="1" ht="18" customHeight="1" x14ac:dyDescent="0.25">
      <c r="A54" s="13" t="s">
        <v>109</v>
      </c>
      <c r="B54" s="14" t="s">
        <v>110</v>
      </c>
      <c r="C54" s="17">
        <v>3181</v>
      </c>
      <c r="D54" s="17">
        <v>3226</v>
      </c>
      <c r="E54" s="16">
        <f t="shared" si="0"/>
        <v>45</v>
      </c>
      <c r="F54" s="17">
        <v>40</v>
      </c>
      <c r="G54" s="17">
        <f t="shared" si="1"/>
        <v>5</v>
      </c>
      <c r="H54" s="18">
        <v>3000</v>
      </c>
      <c r="I54" s="19">
        <f t="shared" si="5"/>
        <v>72000</v>
      </c>
      <c r="J54" s="19">
        <f t="shared" si="3"/>
        <v>15000</v>
      </c>
      <c r="K54" s="19">
        <f t="shared" si="6"/>
        <v>90000</v>
      </c>
      <c r="L54" s="20"/>
      <c r="M54" s="37" t="s">
        <v>330</v>
      </c>
    </row>
    <row r="55" spans="1:13" s="6" customFormat="1" ht="18" customHeight="1" x14ac:dyDescent="0.25">
      <c r="A55" s="13" t="s">
        <v>111</v>
      </c>
      <c r="B55" s="14" t="s">
        <v>112</v>
      </c>
      <c r="C55" s="22">
        <v>1829</v>
      </c>
      <c r="D55" s="22">
        <v>1840</v>
      </c>
      <c r="E55" s="16">
        <f t="shared" si="0"/>
        <v>11</v>
      </c>
      <c r="F55" s="17">
        <v>11</v>
      </c>
      <c r="G55" s="17">
        <f t="shared" si="1"/>
        <v>0</v>
      </c>
      <c r="H55" s="18">
        <v>3000</v>
      </c>
      <c r="I55" s="19">
        <f t="shared" si="5"/>
        <v>19800</v>
      </c>
      <c r="J55" s="19">
        <f t="shared" si="3"/>
        <v>0</v>
      </c>
      <c r="K55" s="19">
        <f t="shared" si="6"/>
        <v>22800</v>
      </c>
      <c r="L55" s="20"/>
      <c r="M55" s="37" t="s">
        <v>331</v>
      </c>
    </row>
    <row r="56" spans="1:13" s="6" customFormat="1" ht="18" customHeight="1" x14ac:dyDescent="0.25">
      <c r="A56" s="17" t="s">
        <v>113</v>
      </c>
      <c r="B56" s="14" t="s">
        <v>114</v>
      </c>
      <c r="C56" s="22">
        <v>381</v>
      </c>
      <c r="D56" s="22">
        <v>407</v>
      </c>
      <c r="E56" s="16">
        <f t="shared" si="0"/>
        <v>26</v>
      </c>
      <c r="F56" s="17">
        <v>26</v>
      </c>
      <c r="G56" s="17">
        <f t="shared" si="1"/>
        <v>0</v>
      </c>
      <c r="H56" s="18">
        <v>3000</v>
      </c>
      <c r="I56" s="19">
        <f t="shared" si="5"/>
        <v>46800</v>
      </c>
      <c r="J56" s="19">
        <f t="shared" si="3"/>
        <v>0</v>
      </c>
      <c r="K56" s="19">
        <f t="shared" si="6"/>
        <v>49800</v>
      </c>
      <c r="L56" s="20"/>
      <c r="M56" s="37" t="s">
        <v>332</v>
      </c>
    </row>
    <row r="57" spans="1:13" s="6" customFormat="1" ht="18" customHeight="1" x14ac:dyDescent="0.25">
      <c r="A57" s="13" t="s">
        <v>115</v>
      </c>
      <c r="B57" s="14" t="s">
        <v>116</v>
      </c>
      <c r="C57" s="22">
        <v>5676</v>
      </c>
      <c r="D57" s="22">
        <v>5724</v>
      </c>
      <c r="E57" s="16">
        <f t="shared" si="0"/>
        <v>48</v>
      </c>
      <c r="F57" s="17">
        <v>40</v>
      </c>
      <c r="G57" s="17">
        <f t="shared" si="1"/>
        <v>8</v>
      </c>
      <c r="H57" s="18">
        <v>3000</v>
      </c>
      <c r="I57" s="19">
        <f t="shared" si="5"/>
        <v>72000</v>
      </c>
      <c r="J57" s="19">
        <f t="shared" si="3"/>
        <v>24000</v>
      </c>
      <c r="K57" s="19">
        <f t="shared" si="6"/>
        <v>99000</v>
      </c>
      <c r="L57" s="20"/>
      <c r="M57" s="37" t="s">
        <v>333</v>
      </c>
    </row>
    <row r="58" spans="1:13" s="6" customFormat="1" ht="18" customHeight="1" x14ac:dyDescent="0.25">
      <c r="A58" s="13" t="s">
        <v>117</v>
      </c>
      <c r="B58" s="29" t="s">
        <v>118</v>
      </c>
      <c r="C58" s="17">
        <v>2238</v>
      </c>
      <c r="D58" s="17">
        <v>2251</v>
      </c>
      <c r="E58" s="16">
        <f t="shared" si="0"/>
        <v>13</v>
      </c>
      <c r="F58" s="17">
        <v>13</v>
      </c>
      <c r="G58" s="17">
        <f t="shared" si="1"/>
        <v>0</v>
      </c>
      <c r="H58" s="18">
        <v>3000</v>
      </c>
      <c r="I58" s="19">
        <f t="shared" si="5"/>
        <v>23400</v>
      </c>
      <c r="J58" s="19">
        <f t="shared" si="3"/>
        <v>0</v>
      </c>
      <c r="K58" s="19">
        <f t="shared" si="6"/>
        <v>26400</v>
      </c>
      <c r="L58" s="20"/>
    </row>
    <row r="59" spans="1:13" s="6" customFormat="1" ht="18" customHeight="1" x14ac:dyDescent="0.25">
      <c r="A59" s="13" t="s">
        <v>119</v>
      </c>
      <c r="B59" s="14" t="s">
        <v>120</v>
      </c>
      <c r="C59" s="17">
        <v>2636</v>
      </c>
      <c r="D59" s="17">
        <v>2640</v>
      </c>
      <c r="E59" s="16">
        <f t="shared" si="0"/>
        <v>4</v>
      </c>
      <c r="F59" s="17">
        <v>4</v>
      </c>
      <c r="G59" s="17">
        <f t="shared" si="1"/>
        <v>0</v>
      </c>
      <c r="H59" s="18">
        <v>3000</v>
      </c>
      <c r="I59" s="19">
        <f t="shared" si="5"/>
        <v>7200</v>
      </c>
      <c r="J59" s="19">
        <f t="shared" si="3"/>
        <v>0</v>
      </c>
      <c r="K59" s="19">
        <f t="shared" si="6"/>
        <v>10200</v>
      </c>
      <c r="L59" s="20"/>
      <c r="M59" s="37" t="s">
        <v>334</v>
      </c>
    </row>
    <row r="60" spans="1:13" s="6" customFormat="1" ht="18" customHeight="1" x14ac:dyDescent="0.25">
      <c r="A60" s="13" t="s">
        <v>121</v>
      </c>
      <c r="B60" s="14" t="s">
        <v>122</v>
      </c>
      <c r="C60" s="22">
        <v>1402</v>
      </c>
      <c r="D60" s="22">
        <v>1426</v>
      </c>
      <c r="E60" s="16">
        <f t="shared" si="0"/>
        <v>24</v>
      </c>
      <c r="F60" s="17">
        <v>24</v>
      </c>
      <c r="G60" s="17">
        <f t="shared" si="1"/>
        <v>0</v>
      </c>
      <c r="H60" s="18">
        <v>3000</v>
      </c>
      <c r="I60" s="19">
        <f t="shared" si="5"/>
        <v>43200</v>
      </c>
      <c r="J60" s="19">
        <f t="shared" si="3"/>
        <v>0</v>
      </c>
      <c r="K60" s="19">
        <f t="shared" si="6"/>
        <v>46200</v>
      </c>
      <c r="L60" s="20"/>
      <c r="M60" s="37" t="s">
        <v>335</v>
      </c>
    </row>
    <row r="61" spans="1:13" s="6" customFormat="1" ht="18" customHeight="1" x14ac:dyDescent="0.25">
      <c r="A61" s="13" t="s">
        <v>123</v>
      </c>
      <c r="B61" s="14" t="s">
        <v>124</v>
      </c>
      <c r="C61" s="17">
        <v>3335</v>
      </c>
      <c r="D61" s="17">
        <v>3366</v>
      </c>
      <c r="E61" s="16">
        <f t="shared" si="0"/>
        <v>31</v>
      </c>
      <c r="F61" s="17">
        <v>31</v>
      </c>
      <c r="G61" s="17">
        <f t="shared" si="1"/>
        <v>0</v>
      </c>
      <c r="H61" s="18">
        <v>3000</v>
      </c>
      <c r="I61" s="19">
        <f t="shared" si="5"/>
        <v>55800</v>
      </c>
      <c r="J61" s="19">
        <f t="shared" si="3"/>
        <v>0</v>
      </c>
      <c r="K61" s="19">
        <f t="shared" si="6"/>
        <v>58800</v>
      </c>
      <c r="L61" s="20"/>
      <c r="M61" s="37" t="s">
        <v>336</v>
      </c>
    </row>
    <row r="62" spans="1:13" s="6" customFormat="1" ht="18" customHeight="1" x14ac:dyDescent="0.25">
      <c r="A62" s="13" t="s">
        <v>125</v>
      </c>
      <c r="B62" s="14" t="s">
        <v>126</v>
      </c>
      <c r="C62" s="17">
        <v>2130</v>
      </c>
      <c r="D62" s="17">
        <v>2136</v>
      </c>
      <c r="E62" s="16">
        <f>D62-C62</f>
        <v>6</v>
      </c>
      <c r="F62" s="17">
        <v>6</v>
      </c>
      <c r="G62" s="17">
        <f>(E62-F62)</f>
        <v>0</v>
      </c>
      <c r="H62" s="18">
        <v>3000</v>
      </c>
      <c r="I62" s="19">
        <f t="shared" si="5"/>
        <v>10800</v>
      </c>
      <c r="J62" s="19">
        <f>G62*3000</f>
        <v>0</v>
      </c>
      <c r="K62" s="19">
        <f t="shared" si="6"/>
        <v>13800</v>
      </c>
      <c r="L62" s="20"/>
      <c r="M62" s="37" t="s">
        <v>382</v>
      </c>
    </row>
    <row r="63" spans="1:13" s="6" customFormat="1" ht="18" customHeight="1" x14ac:dyDescent="0.25">
      <c r="A63" s="13" t="s">
        <v>127</v>
      </c>
      <c r="B63" s="14" t="s">
        <v>128</v>
      </c>
      <c r="C63" s="22">
        <v>1816</v>
      </c>
      <c r="D63" s="22">
        <v>1832</v>
      </c>
      <c r="E63" s="16">
        <f t="shared" si="0"/>
        <v>16</v>
      </c>
      <c r="F63" s="17">
        <v>16</v>
      </c>
      <c r="G63" s="17">
        <f t="shared" si="1"/>
        <v>0</v>
      </c>
      <c r="H63" s="18">
        <v>3000</v>
      </c>
      <c r="I63" s="19">
        <f t="shared" si="5"/>
        <v>28800</v>
      </c>
      <c r="J63" s="19">
        <f t="shared" si="3"/>
        <v>0</v>
      </c>
      <c r="K63" s="19">
        <f t="shared" si="6"/>
        <v>31800</v>
      </c>
      <c r="L63" s="20"/>
      <c r="M63" s="37" t="s">
        <v>337</v>
      </c>
    </row>
    <row r="64" spans="1:13" s="6" customFormat="1" ht="18" customHeight="1" x14ac:dyDescent="0.25">
      <c r="A64" s="13" t="s">
        <v>129</v>
      </c>
      <c r="B64" s="14" t="s">
        <v>130</v>
      </c>
      <c r="C64" s="17">
        <v>741</v>
      </c>
      <c r="D64" s="17">
        <v>753</v>
      </c>
      <c r="E64" s="16">
        <f t="shared" si="0"/>
        <v>12</v>
      </c>
      <c r="F64" s="17">
        <v>12</v>
      </c>
      <c r="G64" s="17">
        <f t="shared" si="1"/>
        <v>0</v>
      </c>
      <c r="H64" s="18">
        <v>3000</v>
      </c>
      <c r="I64" s="19">
        <f t="shared" si="5"/>
        <v>21600</v>
      </c>
      <c r="J64" s="19">
        <f t="shared" si="3"/>
        <v>0</v>
      </c>
      <c r="K64" s="19">
        <f t="shared" si="6"/>
        <v>24600</v>
      </c>
      <c r="L64" s="20"/>
      <c r="M64" s="37" t="s">
        <v>338</v>
      </c>
    </row>
    <row r="65" spans="1:13" s="6" customFormat="1" ht="18" customHeight="1" x14ac:dyDescent="0.25">
      <c r="A65" s="13" t="s">
        <v>131</v>
      </c>
      <c r="B65" s="14" t="s">
        <v>132</v>
      </c>
      <c r="C65" s="17">
        <v>4629</v>
      </c>
      <c r="D65" s="17">
        <v>4651</v>
      </c>
      <c r="E65" s="16">
        <f t="shared" si="0"/>
        <v>22</v>
      </c>
      <c r="F65" s="17">
        <v>22</v>
      </c>
      <c r="G65" s="17">
        <f t="shared" si="1"/>
        <v>0</v>
      </c>
      <c r="H65" s="18">
        <v>3000</v>
      </c>
      <c r="I65" s="19">
        <f t="shared" si="5"/>
        <v>39600</v>
      </c>
      <c r="J65" s="19">
        <f t="shared" si="3"/>
        <v>0</v>
      </c>
      <c r="K65" s="19">
        <f t="shared" si="6"/>
        <v>42600</v>
      </c>
      <c r="L65" s="20"/>
      <c r="M65" s="37" t="s">
        <v>339</v>
      </c>
    </row>
    <row r="66" spans="1:13" s="6" customFormat="1" ht="18" customHeight="1" x14ac:dyDescent="0.25">
      <c r="A66" s="13" t="s">
        <v>133</v>
      </c>
      <c r="B66" s="14" t="s">
        <v>134</v>
      </c>
      <c r="C66" s="17">
        <v>672</v>
      </c>
      <c r="D66" s="17">
        <v>686</v>
      </c>
      <c r="E66" s="16">
        <f t="shared" si="0"/>
        <v>14</v>
      </c>
      <c r="F66" s="17">
        <v>14</v>
      </c>
      <c r="G66" s="17">
        <f t="shared" si="1"/>
        <v>0</v>
      </c>
      <c r="H66" s="18">
        <v>3000</v>
      </c>
      <c r="I66" s="19">
        <f t="shared" si="5"/>
        <v>25200</v>
      </c>
      <c r="J66" s="19">
        <f t="shared" si="3"/>
        <v>0</v>
      </c>
      <c r="K66" s="19">
        <f t="shared" si="6"/>
        <v>28200</v>
      </c>
      <c r="L66" s="20"/>
    </row>
    <row r="67" spans="1:13" s="6" customFormat="1" ht="18" customHeight="1" x14ac:dyDescent="0.25">
      <c r="A67" s="13" t="s">
        <v>135</v>
      </c>
      <c r="B67" s="14" t="s">
        <v>136</v>
      </c>
      <c r="C67" s="17">
        <v>2048</v>
      </c>
      <c r="D67" s="17">
        <v>2059</v>
      </c>
      <c r="E67" s="16">
        <f t="shared" si="0"/>
        <v>11</v>
      </c>
      <c r="F67" s="17">
        <v>11</v>
      </c>
      <c r="G67" s="17">
        <f t="shared" si="1"/>
        <v>0</v>
      </c>
      <c r="H67" s="18">
        <v>3000</v>
      </c>
      <c r="I67" s="19">
        <f t="shared" si="5"/>
        <v>19800</v>
      </c>
      <c r="J67" s="19">
        <f t="shared" si="3"/>
        <v>0</v>
      </c>
      <c r="K67" s="19">
        <f t="shared" si="6"/>
        <v>22800</v>
      </c>
      <c r="L67" s="20"/>
    </row>
    <row r="68" spans="1:13" s="6" customFormat="1" ht="18" customHeight="1" x14ac:dyDescent="0.25">
      <c r="A68" s="13" t="s">
        <v>137</v>
      </c>
      <c r="B68" s="14" t="s">
        <v>138</v>
      </c>
      <c r="C68" s="22">
        <v>1546</v>
      </c>
      <c r="D68" s="22">
        <v>1564</v>
      </c>
      <c r="E68" s="16">
        <f t="shared" si="0"/>
        <v>18</v>
      </c>
      <c r="F68" s="17">
        <v>18</v>
      </c>
      <c r="G68" s="17">
        <f t="shared" si="1"/>
        <v>0</v>
      </c>
      <c r="H68" s="18">
        <v>3000</v>
      </c>
      <c r="I68" s="19">
        <f t="shared" si="5"/>
        <v>32400</v>
      </c>
      <c r="J68" s="19">
        <f t="shared" si="3"/>
        <v>0</v>
      </c>
      <c r="K68" s="19">
        <f t="shared" si="6"/>
        <v>35400</v>
      </c>
      <c r="L68" s="20"/>
      <c r="M68" s="37" t="s">
        <v>340</v>
      </c>
    </row>
    <row r="69" spans="1:13" s="6" customFormat="1" ht="18" customHeight="1" x14ac:dyDescent="0.25">
      <c r="A69" s="13" t="s">
        <v>139</v>
      </c>
      <c r="B69" s="14" t="s">
        <v>140</v>
      </c>
      <c r="C69" s="17">
        <v>1989</v>
      </c>
      <c r="D69" s="17">
        <v>1998</v>
      </c>
      <c r="E69" s="16">
        <f t="shared" si="0"/>
        <v>9</v>
      </c>
      <c r="F69" s="17">
        <v>9</v>
      </c>
      <c r="G69" s="17">
        <f t="shared" si="1"/>
        <v>0</v>
      </c>
      <c r="H69" s="18">
        <v>3000</v>
      </c>
      <c r="I69" s="19">
        <f t="shared" si="5"/>
        <v>16200</v>
      </c>
      <c r="J69" s="19">
        <f t="shared" si="3"/>
        <v>0</v>
      </c>
      <c r="K69" s="19">
        <f t="shared" si="6"/>
        <v>19200</v>
      </c>
      <c r="L69" s="20"/>
      <c r="M69" s="37" t="s">
        <v>342</v>
      </c>
    </row>
    <row r="70" spans="1:13" s="6" customFormat="1" ht="18" customHeight="1" x14ac:dyDescent="0.25">
      <c r="A70" s="13" t="s">
        <v>141</v>
      </c>
      <c r="B70" s="14" t="s">
        <v>341</v>
      </c>
      <c r="C70" s="22">
        <v>996</v>
      </c>
      <c r="D70" s="22">
        <v>1055</v>
      </c>
      <c r="E70" s="16">
        <f t="shared" si="0"/>
        <v>59</v>
      </c>
      <c r="F70" s="17">
        <v>40</v>
      </c>
      <c r="G70" s="17">
        <f t="shared" si="1"/>
        <v>19</v>
      </c>
      <c r="H70" s="18">
        <v>3000</v>
      </c>
      <c r="I70" s="19">
        <f t="shared" si="5"/>
        <v>72000</v>
      </c>
      <c r="J70" s="19">
        <f t="shared" si="3"/>
        <v>57000</v>
      </c>
      <c r="K70" s="19">
        <f t="shared" si="6"/>
        <v>132000</v>
      </c>
      <c r="L70" s="20"/>
      <c r="M70" s="37" t="s">
        <v>343</v>
      </c>
    </row>
    <row r="71" spans="1:13" s="6" customFormat="1" ht="18" customHeight="1" x14ac:dyDescent="0.25">
      <c r="A71" s="13" t="s">
        <v>142</v>
      </c>
      <c r="B71" s="14" t="s">
        <v>143</v>
      </c>
      <c r="C71" s="17">
        <v>1702</v>
      </c>
      <c r="D71" s="17">
        <v>1705</v>
      </c>
      <c r="E71" s="16">
        <f t="shared" si="0"/>
        <v>3</v>
      </c>
      <c r="F71" s="17">
        <v>3</v>
      </c>
      <c r="G71" s="17">
        <f t="shared" si="1"/>
        <v>0</v>
      </c>
      <c r="H71" s="18">
        <v>3000</v>
      </c>
      <c r="I71" s="19">
        <f t="shared" si="5"/>
        <v>5400</v>
      </c>
      <c r="J71" s="19">
        <f t="shared" si="3"/>
        <v>0</v>
      </c>
      <c r="K71" s="19">
        <f t="shared" si="6"/>
        <v>8400</v>
      </c>
      <c r="L71" s="20"/>
      <c r="M71" s="37" t="s">
        <v>343</v>
      </c>
    </row>
    <row r="72" spans="1:13" s="6" customFormat="1" ht="18" customHeight="1" x14ac:dyDescent="0.25">
      <c r="A72" s="13" t="s">
        <v>144</v>
      </c>
      <c r="B72" s="14" t="s">
        <v>145</v>
      </c>
      <c r="C72" s="17">
        <v>3650</v>
      </c>
      <c r="D72" s="17">
        <v>3668</v>
      </c>
      <c r="E72" s="16">
        <f t="shared" si="0"/>
        <v>18</v>
      </c>
      <c r="F72" s="17">
        <v>18</v>
      </c>
      <c r="G72" s="17">
        <f t="shared" si="1"/>
        <v>0</v>
      </c>
      <c r="H72" s="18">
        <v>3000</v>
      </c>
      <c r="I72" s="19">
        <f t="shared" si="5"/>
        <v>32400</v>
      </c>
      <c r="J72" s="19">
        <f t="shared" si="3"/>
        <v>0</v>
      </c>
      <c r="K72" s="19">
        <f t="shared" si="6"/>
        <v>35400</v>
      </c>
      <c r="L72" s="20"/>
      <c r="M72" s="37" t="s">
        <v>344</v>
      </c>
    </row>
    <row r="73" spans="1:13" s="6" customFormat="1" ht="18" customHeight="1" x14ac:dyDescent="0.25">
      <c r="A73" s="13" t="s">
        <v>146</v>
      </c>
      <c r="B73" s="14" t="s">
        <v>147</v>
      </c>
      <c r="C73" s="17">
        <v>1859</v>
      </c>
      <c r="D73" s="17">
        <v>1866</v>
      </c>
      <c r="E73" s="16">
        <f t="shared" si="0"/>
        <v>7</v>
      </c>
      <c r="F73" s="17">
        <v>7</v>
      </c>
      <c r="G73" s="17">
        <f t="shared" si="1"/>
        <v>0</v>
      </c>
      <c r="H73" s="18">
        <v>3000</v>
      </c>
      <c r="I73" s="19">
        <f t="shared" si="5"/>
        <v>12600</v>
      </c>
      <c r="J73" s="19">
        <f t="shared" si="3"/>
        <v>0</v>
      </c>
      <c r="K73" s="19">
        <f t="shared" si="6"/>
        <v>15600</v>
      </c>
      <c r="L73" s="20"/>
      <c r="M73" s="37" t="s">
        <v>345</v>
      </c>
    </row>
    <row r="74" spans="1:13" s="6" customFormat="1" ht="18" customHeight="1" x14ac:dyDescent="0.25">
      <c r="A74" s="13" t="s">
        <v>148</v>
      </c>
      <c r="B74" s="14" t="s">
        <v>149</v>
      </c>
      <c r="C74" s="17">
        <v>2114</v>
      </c>
      <c r="D74" s="17">
        <v>2123</v>
      </c>
      <c r="E74" s="16">
        <f t="shared" si="0"/>
        <v>9</v>
      </c>
      <c r="F74" s="17">
        <v>9</v>
      </c>
      <c r="G74" s="17">
        <f t="shared" si="1"/>
        <v>0</v>
      </c>
      <c r="H74" s="18">
        <v>3000</v>
      </c>
      <c r="I74" s="19">
        <f t="shared" si="5"/>
        <v>16200</v>
      </c>
      <c r="J74" s="19">
        <f t="shared" si="3"/>
        <v>0</v>
      </c>
      <c r="K74" s="19">
        <f t="shared" si="6"/>
        <v>19200</v>
      </c>
      <c r="L74" s="20"/>
      <c r="M74" s="37" t="s">
        <v>346</v>
      </c>
    </row>
    <row r="75" spans="1:13" s="6" customFormat="1" ht="18" customHeight="1" x14ac:dyDescent="0.25">
      <c r="A75" s="13" t="s">
        <v>150</v>
      </c>
      <c r="B75" s="14" t="s">
        <v>151</v>
      </c>
      <c r="C75" s="17">
        <v>2181</v>
      </c>
      <c r="D75" s="17">
        <v>2202</v>
      </c>
      <c r="E75" s="16">
        <f t="shared" si="0"/>
        <v>21</v>
      </c>
      <c r="F75" s="17">
        <v>21</v>
      </c>
      <c r="G75" s="17">
        <f t="shared" si="1"/>
        <v>0</v>
      </c>
      <c r="H75" s="18">
        <v>3000</v>
      </c>
      <c r="I75" s="19">
        <f t="shared" si="5"/>
        <v>37800</v>
      </c>
      <c r="J75" s="19">
        <f t="shared" si="3"/>
        <v>0</v>
      </c>
      <c r="K75" s="19">
        <f t="shared" si="6"/>
        <v>40800</v>
      </c>
      <c r="L75" s="20"/>
      <c r="M75" s="37" t="s">
        <v>347</v>
      </c>
    </row>
    <row r="76" spans="1:13" s="6" customFormat="1" ht="18" customHeight="1" x14ac:dyDescent="0.25">
      <c r="A76" s="13" t="s">
        <v>152</v>
      </c>
      <c r="B76" s="14" t="s">
        <v>153</v>
      </c>
      <c r="C76" s="17">
        <v>1586</v>
      </c>
      <c r="D76" s="17">
        <v>1597</v>
      </c>
      <c r="E76" s="16">
        <f t="shared" ref="E76:E143" si="7">D76-C76</f>
        <v>11</v>
      </c>
      <c r="F76" s="17">
        <v>11</v>
      </c>
      <c r="G76" s="17">
        <f t="shared" si="1"/>
        <v>0</v>
      </c>
      <c r="H76" s="18">
        <v>3000</v>
      </c>
      <c r="I76" s="19">
        <f t="shared" si="5"/>
        <v>19800</v>
      </c>
      <c r="J76" s="19">
        <f t="shared" si="3"/>
        <v>0</v>
      </c>
      <c r="K76" s="19">
        <f t="shared" si="6"/>
        <v>22800</v>
      </c>
      <c r="L76" s="20"/>
      <c r="M76" s="37" t="s">
        <v>348</v>
      </c>
    </row>
    <row r="77" spans="1:13" s="6" customFormat="1" ht="18" customHeight="1" x14ac:dyDescent="0.25">
      <c r="A77" s="13" t="s">
        <v>154</v>
      </c>
      <c r="B77" s="30" t="s">
        <v>155</v>
      </c>
      <c r="C77" s="17">
        <v>3412</v>
      </c>
      <c r="D77" s="17">
        <v>3436</v>
      </c>
      <c r="E77" s="16">
        <f t="shared" si="7"/>
        <v>24</v>
      </c>
      <c r="F77" s="17">
        <v>24</v>
      </c>
      <c r="G77" s="17">
        <f t="shared" ref="G77:G144" si="8">(E77-F77)</f>
        <v>0</v>
      </c>
      <c r="H77" s="18">
        <v>3000</v>
      </c>
      <c r="I77" s="19">
        <f t="shared" si="5"/>
        <v>43200</v>
      </c>
      <c r="J77" s="19">
        <f t="shared" ref="J77:J144" si="9">G77*3000</f>
        <v>0</v>
      </c>
      <c r="K77" s="19">
        <f t="shared" si="6"/>
        <v>46200</v>
      </c>
      <c r="L77" s="20"/>
      <c r="M77" s="37" t="s">
        <v>349</v>
      </c>
    </row>
    <row r="78" spans="1:13" s="6" customFormat="1" ht="18" customHeight="1" x14ac:dyDescent="0.25">
      <c r="A78" s="13" t="s">
        <v>156</v>
      </c>
      <c r="B78" s="14" t="s">
        <v>157</v>
      </c>
      <c r="C78" s="17">
        <v>1475</v>
      </c>
      <c r="D78" s="17">
        <v>1479</v>
      </c>
      <c r="E78" s="16">
        <f t="shared" si="7"/>
        <v>4</v>
      </c>
      <c r="F78" s="17">
        <v>4</v>
      </c>
      <c r="G78" s="17">
        <f t="shared" si="8"/>
        <v>0</v>
      </c>
      <c r="H78" s="18">
        <v>3000</v>
      </c>
      <c r="I78" s="19">
        <f t="shared" si="5"/>
        <v>7200</v>
      </c>
      <c r="J78" s="19">
        <f t="shared" si="9"/>
        <v>0</v>
      </c>
      <c r="K78" s="19">
        <f t="shared" si="6"/>
        <v>10200</v>
      </c>
      <c r="L78" s="20"/>
    </row>
    <row r="79" spans="1:13" s="6" customFormat="1" ht="18" customHeight="1" x14ac:dyDescent="0.25">
      <c r="A79" s="13" t="s">
        <v>158</v>
      </c>
      <c r="B79" s="14" t="s">
        <v>159</v>
      </c>
      <c r="C79" s="22">
        <v>3156</v>
      </c>
      <c r="D79" s="22">
        <v>3177</v>
      </c>
      <c r="E79" s="16">
        <f t="shared" si="7"/>
        <v>21</v>
      </c>
      <c r="F79" s="17">
        <v>21</v>
      </c>
      <c r="G79" s="17">
        <f t="shared" si="8"/>
        <v>0</v>
      </c>
      <c r="H79" s="18">
        <v>3000</v>
      </c>
      <c r="I79" s="19">
        <f>F79*1800</f>
        <v>37800</v>
      </c>
      <c r="J79" s="19">
        <f t="shared" si="9"/>
        <v>0</v>
      </c>
      <c r="K79" s="19">
        <f t="shared" si="6"/>
        <v>40800</v>
      </c>
      <c r="L79" s="20"/>
      <c r="M79" s="37" t="s">
        <v>383</v>
      </c>
    </row>
    <row r="80" spans="1:13" s="6" customFormat="1" ht="18" customHeight="1" x14ac:dyDescent="0.25">
      <c r="A80" s="13" t="s">
        <v>160</v>
      </c>
      <c r="B80" s="14" t="s">
        <v>161</v>
      </c>
      <c r="C80" s="17">
        <v>2148</v>
      </c>
      <c r="D80" s="17">
        <v>2172</v>
      </c>
      <c r="E80" s="16">
        <f>D80-C80</f>
        <v>24</v>
      </c>
      <c r="F80" s="17">
        <v>24</v>
      </c>
      <c r="G80" s="17">
        <f>(E80-F80)</f>
        <v>0</v>
      </c>
      <c r="H80" s="18">
        <v>3000</v>
      </c>
      <c r="I80" s="19">
        <f t="shared" si="5"/>
        <v>43200</v>
      </c>
      <c r="J80" s="19">
        <f>G80*3000</f>
        <v>0</v>
      </c>
      <c r="K80" s="19">
        <f t="shared" si="6"/>
        <v>46200</v>
      </c>
      <c r="L80" s="20"/>
      <c r="M80" s="37" t="s">
        <v>350</v>
      </c>
    </row>
    <row r="81" spans="1:13" s="6" customFormat="1" ht="18" customHeight="1" x14ac:dyDescent="0.25">
      <c r="A81" s="13" t="s">
        <v>162</v>
      </c>
      <c r="B81" s="14" t="s">
        <v>163</v>
      </c>
      <c r="C81" s="22">
        <v>1955</v>
      </c>
      <c r="D81" s="22">
        <v>1968</v>
      </c>
      <c r="E81" s="16">
        <f t="shared" si="7"/>
        <v>13</v>
      </c>
      <c r="F81" s="17">
        <v>13</v>
      </c>
      <c r="G81" s="17">
        <f t="shared" si="8"/>
        <v>0</v>
      </c>
      <c r="H81" s="18">
        <v>3000</v>
      </c>
      <c r="I81" s="19">
        <f t="shared" si="5"/>
        <v>23400</v>
      </c>
      <c r="J81" s="19">
        <f t="shared" si="9"/>
        <v>0</v>
      </c>
      <c r="K81" s="19">
        <f t="shared" si="6"/>
        <v>26400</v>
      </c>
      <c r="L81" s="20"/>
      <c r="M81" s="37" t="s">
        <v>351</v>
      </c>
    </row>
    <row r="82" spans="1:13" s="6" customFormat="1" ht="18" customHeight="1" x14ac:dyDescent="0.25">
      <c r="A82" s="13" t="s">
        <v>164</v>
      </c>
      <c r="B82" s="14" t="s">
        <v>165</v>
      </c>
      <c r="C82" s="17">
        <v>688</v>
      </c>
      <c r="D82" s="17">
        <v>702</v>
      </c>
      <c r="E82" s="16">
        <f t="shared" si="7"/>
        <v>14</v>
      </c>
      <c r="F82" s="17">
        <v>14</v>
      </c>
      <c r="G82" s="17">
        <f t="shared" si="8"/>
        <v>0</v>
      </c>
      <c r="H82" s="18">
        <v>3000</v>
      </c>
      <c r="I82" s="19">
        <f t="shared" si="5"/>
        <v>25200</v>
      </c>
      <c r="J82" s="19">
        <f t="shared" si="9"/>
        <v>0</v>
      </c>
      <c r="K82" s="19">
        <f t="shared" si="6"/>
        <v>28200</v>
      </c>
      <c r="L82" s="20"/>
      <c r="M82" s="37" t="s">
        <v>352</v>
      </c>
    </row>
    <row r="83" spans="1:13" s="6" customFormat="1" ht="18" customHeight="1" x14ac:dyDescent="0.25">
      <c r="A83" s="13" t="s">
        <v>166</v>
      </c>
      <c r="B83" s="14" t="s">
        <v>167</v>
      </c>
      <c r="C83" s="17">
        <v>3165</v>
      </c>
      <c r="D83" s="17">
        <v>3186</v>
      </c>
      <c r="E83" s="16">
        <f t="shared" si="7"/>
        <v>21</v>
      </c>
      <c r="F83" s="17">
        <v>21</v>
      </c>
      <c r="G83" s="17">
        <f t="shared" si="8"/>
        <v>0</v>
      </c>
      <c r="H83" s="18">
        <v>3000</v>
      </c>
      <c r="I83" s="19">
        <f t="shared" si="5"/>
        <v>37800</v>
      </c>
      <c r="J83" s="19">
        <f t="shared" si="9"/>
        <v>0</v>
      </c>
      <c r="K83" s="19">
        <f t="shared" si="6"/>
        <v>40800</v>
      </c>
      <c r="L83" s="20"/>
      <c r="M83" s="37" t="s">
        <v>353</v>
      </c>
    </row>
    <row r="84" spans="1:13" s="6" customFormat="1" ht="18" customHeight="1" x14ac:dyDescent="0.25">
      <c r="A84" s="13" t="s">
        <v>168</v>
      </c>
      <c r="B84" s="14" t="s">
        <v>169</v>
      </c>
      <c r="C84" s="17">
        <v>4524</v>
      </c>
      <c r="D84" s="17">
        <v>4548</v>
      </c>
      <c r="E84" s="16">
        <f t="shared" si="7"/>
        <v>24</v>
      </c>
      <c r="F84" s="17">
        <v>24</v>
      </c>
      <c r="G84" s="17">
        <f t="shared" si="8"/>
        <v>0</v>
      </c>
      <c r="H84" s="18">
        <v>3000</v>
      </c>
      <c r="I84" s="19">
        <f t="shared" si="5"/>
        <v>43200</v>
      </c>
      <c r="J84" s="19">
        <f t="shared" si="9"/>
        <v>0</v>
      </c>
      <c r="K84" s="19">
        <f t="shared" si="6"/>
        <v>46200</v>
      </c>
      <c r="L84" s="20"/>
      <c r="M84" s="37" t="s">
        <v>354</v>
      </c>
    </row>
    <row r="85" spans="1:13" s="6" customFormat="1" ht="18" customHeight="1" x14ac:dyDescent="0.25">
      <c r="A85" s="13" t="s">
        <v>170</v>
      </c>
      <c r="B85" s="14" t="s">
        <v>171</v>
      </c>
      <c r="C85" s="17">
        <v>2252</v>
      </c>
      <c r="D85" s="17">
        <v>2260</v>
      </c>
      <c r="E85" s="16">
        <f t="shared" si="7"/>
        <v>8</v>
      </c>
      <c r="F85" s="17">
        <v>8</v>
      </c>
      <c r="G85" s="17">
        <f t="shared" si="8"/>
        <v>0</v>
      </c>
      <c r="H85" s="18">
        <v>3000</v>
      </c>
      <c r="I85" s="19">
        <f t="shared" si="5"/>
        <v>14400</v>
      </c>
      <c r="J85" s="19">
        <f t="shared" si="9"/>
        <v>0</v>
      </c>
      <c r="K85" s="19">
        <f t="shared" si="6"/>
        <v>17400</v>
      </c>
      <c r="L85" s="23"/>
    </row>
    <row r="86" spans="1:13" s="6" customFormat="1" ht="18" customHeight="1" x14ac:dyDescent="0.25">
      <c r="A86" s="13" t="s">
        <v>172</v>
      </c>
      <c r="B86" s="14" t="s">
        <v>173</v>
      </c>
      <c r="C86" s="17">
        <v>3553</v>
      </c>
      <c r="D86" s="17">
        <v>3583</v>
      </c>
      <c r="E86" s="16">
        <f t="shared" si="7"/>
        <v>30</v>
      </c>
      <c r="F86" s="17">
        <v>30</v>
      </c>
      <c r="G86" s="17">
        <f t="shared" si="8"/>
        <v>0</v>
      </c>
      <c r="H86" s="18">
        <v>3000</v>
      </c>
      <c r="I86" s="19">
        <f t="shared" si="5"/>
        <v>54000</v>
      </c>
      <c r="J86" s="19">
        <f t="shared" si="9"/>
        <v>0</v>
      </c>
      <c r="K86" s="19">
        <f t="shared" si="6"/>
        <v>57000</v>
      </c>
      <c r="L86" s="20"/>
      <c r="M86" s="37" t="s">
        <v>355</v>
      </c>
    </row>
    <row r="87" spans="1:13" s="6" customFormat="1" ht="18" customHeight="1" x14ac:dyDescent="0.25">
      <c r="A87" s="13" t="s">
        <v>174</v>
      </c>
      <c r="B87" s="14" t="s">
        <v>175</v>
      </c>
      <c r="C87" s="17">
        <v>2531</v>
      </c>
      <c r="D87" s="17">
        <v>2545</v>
      </c>
      <c r="E87" s="16">
        <f t="shared" si="7"/>
        <v>14</v>
      </c>
      <c r="F87" s="17">
        <v>14</v>
      </c>
      <c r="G87" s="17">
        <f>(E87-F87)</f>
        <v>0</v>
      </c>
      <c r="H87" s="18">
        <v>3000</v>
      </c>
      <c r="I87" s="19">
        <f t="shared" si="5"/>
        <v>25200</v>
      </c>
      <c r="J87" s="19">
        <f>G87*3000</f>
        <v>0</v>
      </c>
      <c r="K87" s="19">
        <f t="shared" si="6"/>
        <v>28200</v>
      </c>
      <c r="L87" s="20"/>
    </row>
    <row r="88" spans="1:13" s="6" customFormat="1" ht="18" customHeight="1" x14ac:dyDescent="0.25">
      <c r="A88" s="13" t="s">
        <v>176</v>
      </c>
      <c r="B88" s="14" t="s">
        <v>177</v>
      </c>
      <c r="C88" s="17">
        <v>1467</v>
      </c>
      <c r="D88" s="17">
        <v>1483</v>
      </c>
      <c r="E88" s="16">
        <f t="shared" si="7"/>
        <v>16</v>
      </c>
      <c r="F88" s="17">
        <v>16</v>
      </c>
      <c r="G88" s="17">
        <f t="shared" si="8"/>
        <v>0</v>
      </c>
      <c r="H88" s="18">
        <v>3000</v>
      </c>
      <c r="I88" s="19">
        <f t="shared" si="5"/>
        <v>28800</v>
      </c>
      <c r="J88" s="19">
        <f t="shared" si="9"/>
        <v>0</v>
      </c>
      <c r="K88" s="19">
        <f t="shared" si="6"/>
        <v>31800</v>
      </c>
      <c r="L88" s="20"/>
      <c r="M88" s="37" t="s">
        <v>356</v>
      </c>
    </row>
    <row r="89" spans="1:13" s="6" customFormat="1" ht="18" customHeight="1" x14ac:dyDescent="0.25">
      <c r="A89" s="13" t="s">
        <v>178</v>
      </c>
      <c r="B89" s="14" t="s">
        <v>179</v>
      </c>
      <c r="C89" s="17">
        <v>176</v>
      </c>
      <c r="D89" s="17">
        <v>180</v>
      </c>
      <c r="E89" s="16">
        <f t="shared" si="7"/>
        <v>4</v>
      </c>
      <c r="F89" s="17">
        <v>4</v>
      </c>
      <c r="G89" s="17">
        <f t="shared" si="8"/>
        <v>0</v>
      </c>
      <c r="H89" s="18">
        <v>3000</v>
      </c>
      <c r="I89" s="19">
        <f t="shared" si="5"/>
        <v>7200</v>
      </c>
      <c r="J89" s="19">
        <f t="shared" si="9"/>
        <v>0</v>
      </c>
      <c r="K89" s="19">
        <f t="shared" si="6"/>
        <v>10200</v>
      </c>
      <c r="L89" s="20"/>
    </row>
    <row r="90" spans="1:13" s="6" customFormat="1" ht="18" customHeight="1" x14ac:dyDescent="0.25">
      <c r="A90" s="13" t="s">
        <v>180</v>
      </c>
      <c r="B90" s="14" t="s">
        <v>181</v>
      </c>
      <c r="C90" s="17">
        <v>5137</v>
      </c>
      <c r="D90" s="17">
        <v>5176</v>
      </c>
      <c r="E90" s="16">
        <f t="shared" si="7"/>
        <v>39</v>
      </c>
      <c r="F90" s="17">
        <v>39</v>
      </c>
      <c r="G90" s="17">
        <f t="shared" si="8"/>
        <v>0</v>
      </c>
      <c r="H90" s="18">
        <v>3000</v>
      </c>
      <c r="I90" s="19">
        <f t="shared" ref="I90:I152" si="10">F90*1800</f>
        <v>70200</v>
      </c>
      <c r="J90" s="19">
        <f t="shared" si="9"/>
        <v>0</v>
      </c>
      <c r="K90" s="19">
        <f t="shared" si="6"/>
        <v>73200</v>
      </c>
      <c r="L90" s="20"/>
      <c r="M90" s="37" t="s">
        <v>384</v>
      </c>
    </row>
    <row r="91" spans="1:13" s="6" customFormat="1" ht="18" customHeight="1" x14ac:dyDescent="0.25">
      <c r="A91" s="13" t="s">
        <v>182</v>
      </c>
      <c r="B91" s="14" t="s">
        <v>183</v>
      </c>
      <c r="C91" s="22">
        <v>1693</v>
      </c>
      <c r="D91" s="22">
        <v>1714</v>
      </c>
      <c r="E91" s="16">
        <f t="shared" si="7"/>
        <v>21</v>
      </c>
      <c r="F91" s="17">
        <v>21</v>
      </c>
      <c r="G91" s="17">
        <f t="shared" si="8"/>
        <v>0</v>
      </c>
      <c r="H91" s="18">
        <v>3000</v>
      </c>
      <c r="I91" s="19">
        <f t="shared" si="10"/>
        <v>37800</v>
      </c>
      <c r="J91" s="19">
        <f t="shared" si="9"/>
        <v>0</v>
      </c>
      <c r="K91" s="19">
        <f t="shared" si="6"/>
        <v>40800</v>
      </c>
      <c r="L91" s="20"/>
      <c r="M91" s="37" t="s">
        <v>357</v>
      </c>
    </row>
    <row r="92" spans="1:13" s="6" customFormat="1" ht="18" customHeight="1" x14ac:dyDescent="0.25">
      <c r="A92" s="13" t="s">
        <v>184</v>
      </c>
      <c r="B92" s="14" t="s">
        <v>185</v>
      </c>
      <c r="C92" s="17">
        <v>5205</v>
      </c>
      <c r="D92" s="17">
        <v>5244</v>
      </c>
      <c r="E92" s="16">
        <f t="shared" si="7"/>
        <v>39</v>
      </c>
      <c r="F92" s="17">
        <v>39</v>
      </c>
      <c r="G92" s="17">
        <f t="shared" si="8"/>
        <v>0</v>
      </c>
      <c r="H92" s="18">
        <v>3000</v>
      </c>
      <c r="I92" s="19">
        <f t="shared" si="10"/>
        <v>70200</v>
      </c>
      <c r="J92" s="19">
        <f t="shared" si="9"/>
        <v>0</v>
      </c>
      <c r="K92" s="19">
        <f t="shared" si="6"/>
        <v>73200</v>
      </c>
      <c r="L92" s="20"/>
      <c r="M92" s="37" t="s">
        <v>358</v>
      </c>
    </row>
    <row r="93" spans="1:13" s="6" customFormat="1" ht="18" customHeight="1" x14ac:dyDescent="0.25">
      <c r="A93" s="13" t="s">
        <v>186</v>
      </c>
      <c r="B93" s="14" t="s">
        <v>187</v>
      </c>
      <c r="C93" s="22">
        <v>2466</v>
      </c>
      <c r="D93" s="22">
        <v>2466</v>
      </c>
      <c r="E93" s="16">
        <f t="shared" si="7"/>
        <v>0</v>
      </c>
      <c r="F93" s="17">
        <v>0</v>
      </c>
      <c r="G93" s="17">
        <f t="shared" si="8"/>
        <v>0</v>
      </c>
      <c r="H93" s="18">
        <v>3000</v>
      </c>
      <c r="I93" s="19">
        <f t="shared" si="10"/>
        <v>0</v>
      </c>
      <c r="J93" s="19">
        <f t="shared" si="9"/>
        <v>0</v>
      </c>
      <c r="K93" s="19">
        <f t="shared" si="6"/>
        <v>3000</v>
      </c>
      <c r="L93" s="20"/>
    </row>
    <row r="94" spans="1:13" s="6" customFormat="1" ht="18" customHeight="1" x14ac:dyDescent="0.25">
      <c r="A94" s="13" t="s">
        <v>188</v>
      </c>
      <c r="B94" s="14" t="s">
        <v>189</v>
      </c>
      <c r="C94" s="22">
        <v>1676</v>
      </c>
      <c r="D94" s="22">
        <v>1748</v>
      </c>
      <c r="E94" s="16">
        <f t="shared" si="7"/>
        <v>72</v>
      </c>
      <c r="F94" s="17">
        <v>40</v>
      </c>
      <c r="G94" s="17">
        <f t="shared" si="8"/>
        <v>32</v>
      </c>
      <c r="H94" s="18">
        <v>3000</v>
      </c>
      <c r="I94" s="19">
        <f t="shared" si="10"/>
        <v>72000</v>
      </c>
      <c r="J94" s="19">
        <f t="shared" si="9"/>
        <v>96000</v>
      </c>
      <c r="K94" s="19">
        <f t="shared" si="6"/>
        <v>171000</v>
      </c>
      <c r="L94" s="20"/>
      <c r="M94" s="37" t="s">
        <v>359</v>
      </c>
    </row>
    <row r="95" spans="1:13" s="6" customFormat="1" ht="18" customHeight="1" x14ac:dyDescent="0.25">
      <c r="A95" s="13" t="s">
        <v>190</v>
      </c>
      <c r="B95" s="14" t="s">
        <v>191</v>
      </c>
      <c r="C95" s="17">
        <v>1715</v>
      </c>
      <c r="D95" s="17">
        <v>1739</v>
      </c>
      <c r="E95" s="16">
        <f t="shared" si="7"/>
        <v>24</v>
      </c>
      <c r="F95" s="17">
        <v>24</v>
      </c>
      <c r="G95" s="17">
        <f t="shared" si="8"/>
        <v>0</v>
      </c>
      <c r="H95" s="18">
        <v>3000</v>
      </c>
      <c r="I95" s="19">
        <f t="shared" si="10"/>
        <v>43200</v>
      </c>
      <c r="J95" s="19">
        <f t="shared" si="9"/>
        <v>0</v>
      </c>
      <c r="K95" s="19">
        <f t="shared" si="6"/>
        <v>46200</v>
      </c>
      <c r="L95" s="20"/>
      <c r="M95" s="37" t="s">
        <v>360</v>
      </c>
    </row>
    <row r="96" spans="1:13" s="6" customFormat="1" ht="18" customHeight="1" x14ac:dyDescent="0.25">
      <c r="A96" s="13" t="s">
        <v>192</v>
      </c>
      <c r="B96" s="14" t="s">
        <v>193</v>
      </c>
      <c r="C96" s="22">
        <v>3176</v>
      </c>
      <c r="D96" s="22">
        <v>3200</v>
      </c>
      <c r="E96" s="16">
        <f t="shared" si="7"/>
        <v>24</v>
      </c>
      <c r="F96" s="17">
        <v>24</v>
      </c>
      <c r="G96" s="17">
        <f t="shared" si="8"/>
        <v>0</v>
      </c>
      <c r="H96" s="18">
        <v>3000</v>
      </c>
      <c r="I96" s="19">
        <f t="shared" si="10"/>
        <v>43200</v>
      </c>
      <c r="J96" s="19">
        <f t="shared" si="9"/>
        <v>0</v>
      </c>
      <c r="K96" s="19">
        <f t="shared" si="6"/>
        <v>46200</v>
      </c>
      <c r="L96" s="20"/>
      <c r="M96" s="37" t="s">
        <v>361</v>
      </c>
    </row>
    <row r="97" spans="1:13" s="6" customFormat="1" ht="18" customHeight="1" x14ac:dyDescent="0.25">
      <c r="A97" s="13" t="s">
        <v>194</v>
      </c>
      <c r="B97" s="14" t="s">
        <v>195</v>
      </c>
      <c r="C97" s="17">
        <v>2183</v>
      </c>
      <c r="D97" s="17">
        <v>2207</v>
      </c>
      <c r="E97" s="16">
        <f t="shared" si="7"/>
        <v>24</v>
      </c>
      <c r="F97" s="17">
        <v>24</v>
      </c>
      <c r="G97" s="17">
        <f t="shared" si="8"/>
        <v>0</v>
      </c>
      <c r="H97" s="18">
        <v>3000</v>
      </c>
      <c r="I97" s="19">
        <f t="shared" si="10"/>
        <v>43200</v>
      </c>
      <c r="J97" s="19">
        <f t="shared" si="9"/>
        <v>0</v>
      </c>
      <c r="K97" s="19">
        <f t="shared" si="6"/>
        <v>46200</v>
      </c>
      <c r="L97" s="20"/>
    </row>
    <row r="98" spans="1:13" s="6" customFormat="1" ht="18" customHeight="1" x14ac:dyDescent="0.25">
      <c r="A98" s="13" t="s">
        <v>196</v>
      </c>
      <c r="B98" s="14" t="s">
        <v>197</v>
      </c>
      <c r="C98" s="22">
        <v>1310</v>
      </c>
      <c r="D98" s="22">
        <v>1325</v>
      </c>
      <c r="E98" s="16">
        <f t="shared" si="7"/>
        <v>15</v>
      </c>
      <c r="F98" s="17">
        <v>15</v>
      </c>
      <c r="G98" s="17">
        <f t="shared" si="8"/>
        <v>0</v>
      </c>
      <c r="H98" s="18">
        <v>3000</v>
      </c>
      <c r="I98" s="19">
        <f t="shared" si="10"/>
        <v>27000</v>
      </c>
      <c r="J98" s="19">
        <f t="shared" si="9"/>
        <v>0</v>
      </c>
      <c r="K98" s="19">
        <f t="shared" si="6"/>
        <v>30000</v>
      </c>
      <c r="L98" s="20"/>
      <c r="M98" s="37" t="s">
        <v>379</v>
      </c>
    </row>
    <row r="99" spans="1:13" s="6" customFormat="1" ht="18" customHeight="1" x14ac:dyDescent="0.25">
      <c r="A99" s="13" t="s">
        <v>198</v>
      </c>
      <c r="B99" s="14" t="s">
        <v>199</v>
      </c>
      <c r="C99" s="17">
        <v>2767</v>
      </c>
      <c r="D99" s="17">
        <v>2780</v>
      </c>
      <c r="E99" s="16">
        <f t="shared" si="7"/>
        <v>13</v>
      </c>
      <c r="F99" s="17">
        <v>13</v>
      </c>
      <c r="G99" s="17">
        <f t="shared" si="8"/>
        <v>0</v>
      </c>
      <c r="H99" s="18">
        <v>3000</v>
      </c>
      <c r="I99" s="19">
        <f t="shared" si="10"/>
        <v>23400</v>
      </c>
      <c r="J99" s="19">
        <f t="shared" si="9"/>
        <v>0</v>
      </c>
      <c r="K99" s="19">
        <f t="shared" si="6"/>
        <v>26400</v>
      </c>
      <c r="L99" s="20"/>
    </row>
    <row r="100" spans="1:13" s="6" customFormat="1" ht="18" customHeight="1" x14ac:dyDescent="0.25">
      <c r="A100" s="13" t="s">
        <v>200</v>
      </c>
      <c r="B100" s="14" t="s">
        <v>201</v>
      </c>
      <c r="C100" s="17">
        <v>334</v>
      </c>
      <c r="D100" s="17">
        <v>360</v>
      </c>
      <c r="E100" s="16">
        <f t="shared" si="7"/>
        <v>26</v>
      </c>
      <c r="F100" s="17">
        <v>26</v>
      </c>
      <c r="G100" s="17">
        <f t="shared" si="8"/>
        <v>0</v>
      </c>
      <c r="H100" s="18">
        <v>3000</v>
      </c>
      <c r="I100" s="19">
        <f t="shared" si="10"/>
        <v>46800</v>
      </c>
      <c r="J100" s="19">
        <f t="shared" si="9"/>
        <v>0</v>
      </c>
      <c r="K100" s="19">
        <f t="shared" si="6"/>
        <v>49800</v>
      </c>
      <c r="L100" s="20"/>
      <c r="M100" s="37" t="s">
        <v>380</v>
      </c>
    </row>
    <row r="101" spans="1:13" s="6" customFormat="1" ht="18" customHeight="1" x14ac:dyDescent="0.25">
      <c r="A101" s="13" t="s">
        <v>202</v>
      </c>
      <c r="B101" s="14" t="s">
        <v>203</v>
      </c>
      <c r="C101" s="17">
        <v>2029</v>
      </c>
      <c r="D101" s="17">
        <v>2047</v>
      </c>
      <c r="E101" s="16">
        <f t="shared" si="7"/>
        <v>18</v>
      </c>
      <c r="F101" s="17">
        <v>18</v>
      </c>
      <c r="G101" s="17">
        <f t="shared" si="8"/>
        <v>0</v>
      </c>
      <c r="H101" s="18">
        <v>3000</v>
      </c>
      <c r="I101" s="19">
        <f t="shared" si="10"/>
        <v>32400</v>
      </c>
      <c r="J101" s="19">
        <f t="shared" si="9"/>
        <v>0</v>
      </c>
      <c r="K101" s="19">
        <f t="shared" si="6"/>
        <v>35400</v>
      </c>
      <c r="L101" s="20"/>
    </row>
    <row r="102" spans="1:13" s="6" customFormat="1" ht="18" customHeight="1" x14ac:dyDescent="0.25">
      <c r="A102" s="13" t="s">
        <v>204</v>
      </c>
      <c r="B102" s="14" t="s">
        <v>205</v>
      </c>
      <c r="C102" s="17">
        <v>1955</v>
      </c>
      <c r="D102" s="17">
        <v>1974</v>
      </c>
      <c r="E102" s="16">
        <f t="shared" si="7"/>
        <v>19</v>
      </c>
      <c r="F102" s="17">
        <v>19</v>
      </c>
      <c r="G102" s="17">
        <f t="shared" si="8"/>
        <v>0</v>
      </c>
      <c r="H102" s="18">
        <v>3000</v>
      </c>
      <c r="I102" s="19">
        <f t="shared" si="10"/>
        <v>34200</v>
      </c>
      <c r="J102" s="19">
        <f t="shared" si="9"/>
        <v>0</v>
      </c>
      <c r="K102" s="19">
        <f t="shared" si="6"/>
        <v>37200</v>
      </c>
      <c r="L102" s="20"/>
    </row>
    <row r="103" spans="1:13" s="6" customFormat="1" ht="18" customHeight="1" x14ac:dyDescent="0.25">
      <c r="A103" s="13" t="s">
        <v>206</v>
      </c>
      <c r="B103" s="14" t="s">
        <v>207</v>
      </c>
      <c r="C103" s="17">
        <v>2867</v>
      </c>
      <c r="D103" s="17">
        <v>2881</v>
      </c>
      <c r="E103" s="16">
        <f t="shared" si="7"/>
        <v>14</v>
      </c>
      <c r="F103" s="17">
        <v>14</v>
      </c>
      <c r="G103" s="17">
        <f t="shared" si="8"/>
        <v>0</v>
      </c>
      <c r="H103" s="18">
        <v>3000</v>
      </c>
      <c r="I103" s="19">
        <f t="shared" si="10"/>
        <v>25200</v>
      </c>
      <c r="J103" s="19">
        <f t="shared" si="9"/>
        <v>0</v>
      </c>
      <c r="K103" s="19">
        <f t="shared" si="6"/>
        <v>28200</v>
      </c>
      <c r="L103" s="20"/>
    </row>
    <row r="104" spans="1:13" s="6" customFormat="1" ht="18" customHeight="1" x14ac:dyDescent="0.25">
      <c r="A104" s="13" t="s">
        <v>208</v>
      </c>
      <c r="B104" s="14" t="s">
        <v>62</v>
      </c>
      <c r="C104" s="17">
        <v>2742</v>
      </c>
      <c r="D104" s="17">
        <v>2778</v>
      </c>
      <c r="E104" s="16">
        <f t="shared" si="7"/>
        <v>36</v>
      </c>
      <c r="F104" s="17">
        <v>36</v>
      </c>
      <c r="G104" s="17">
        <f t="shared" si="8"/>
        <v>0</v>
      </c>
      <c r="H104" s="18">
        <v>3000</v>
      </c>
      <c r="I104" s="19">
        <f t="shared" si="10"/>
        <v>64800</v>
      </c>
      <c r="J104" s="19">
        <f t="shared" si="9"/>
        <v>0</v>
      </c>
      <c r="K104" s="19">
        <f t="shared" si="6"/>
        <v>67800</v>
      </c>
      <c r="L104" s="20"/>
      <c r="M104" s="37" t="s">
        <v>362</v>
      </c>
    </row>
    <row r="105" spans="1:13" s="6" customFormat="1" ht="18" customHeight="1" x14ac:dyDescent="0.25">
      <c r="A105" s="13" t="s">
        <v>209</v>
      </c>
      <c r="B105" s="29" t="s">
        <v>210</v>
      </c>
      <c r="C105" s="17">
        <v>3285</v>
      </c>
      <c r="D105" s="17">
        <v>3316</v>
      </c>
      <c r="E105" s="16">
        <f t="shared" si="7"/>
        <v>31</v>
      </c>
      <c r="F105" s="17">
        <v>31</v>
      </c>
      <c r="G105" s="17">
        <f t="shared" si="8"/>
        <v>0</v>
      </c>
      <c r="H105" s="18">
        <v>3000</v>
      </c>
      <c r="I105" s="19">
        <f t="shared" si="10"/>
        <v>55800</v>
      </c>
      <c r="J105" s="19">
        <f t="shared" si="9"/>
        <v>0</v>
      </c>
      <c r="K105" s="19">
        <f t="shared" si="6"/>
        <v>58800</v>
      </c>
      <c r="L105" s="20"/>
      <c r="M105" s="37" t="s">
        <v>381</v>
      </c>
    </row>
    <row r="106" spans="1:13" s="6" customFormat="1" ht="18" customHeight="1" x14ac:dyDescent="0.25">
      <c r="A106" s="13" t="s">
        <v>211</v>
      </c>
      <c r="B106" s="14" t="s">
        <v>212</v>
      </c>
      <c r="C106" s="17">
        <v>2485</v>
      </c>
      <c r="D106" s="17">
        <v>2492</v>
      </c>
      <c r="E106" s="16">
        <f t="shared" si="7"/>
        <v>7</v>
      </c>
      <c r="F106" s="17">
        <v>7</v>
      </c>
      <c r="G106" s="17">
        <f t="shared" si="8"/>
        <v>0</v>
      </c>
      <c r="H106" s="18">
        <v>3000</v>
      </c>
      <c r="I106" s="19">
        <f t="shared" si="10"/>
        <v>12600</v>
      </c>
      <c r="J106" s="19">
        <f t="shared" si="9"/>
        <v>0</v>
      </c>
      <c r="K106" s="19">
        <f t="shared" ref="K106:K152" si="11">H106+I106+J106</f>
        <v>15600</v>
      </c>
      <c r="L106" s="20"/>
    </row>
    <row r="107" spans="1:13" s="6" customFormat="1" ht="18" customHeight="1" x14ac:dyDescent="0.25">
      <c r="A107" s="13" t="s">
        <v>213</v>
      </c>
      <c r="B107" s="14" t="s">
        <v>214</v>
      </c>
      <c r="C107" s="17">
        <v>3767</v>
      </c>
      <c r="D107" s="17">
        <v>3800</v>
      </c>
      <c r="E107" s="16">
        <f t="shared" si="7"/>
        <v>33</v>
      </c>
      <c r="F107" s="17">
        <v>33</v>
      </c>
      <c r="G107" s="17">
        <f t="shared" si="8"/>
        <v>0</v>
      </c>
      <c r="H107" s="18">
        <v>3000</v>
      </c>
      <c r="I107" s="19">
        <f t="shared" si="10"/>
        <v>59400</v>
      </c>
      <c r="J107" s="19">
        <f t="shared" si="9"/>
        <v>0</v>
      </c>
      <c r="K107" s="19">
        <f t="shared" si="11"/>
        <v>62400</v>
      </c>
      <c r="L107" s="20"/>
      <c r="M107" s="37" t="s">
        <v>363</v>
      </c>
    </row>
    <row r="108" spans="1:13" s="6" customFormat="1" ht="18" customHeight="1" x14ac:dyDescent="0.25">
      <c r="A108" s="13" t="s">
        <v>215</v>
      </c>
      <c r="B108" s="14" t="s">
        <v>216</v>
      </c>
      <c r="C108" s="17">
        <v>3165</v>
      </c>
      <c r="D108" s="17">
        <v>3182</v>
      </c>
      <c r="E108" s="16">
        <f t="shared" si="7"/>
        <v>17</v>
      </c>
      <c r="F108" s="17">
        <v>17</v>
      </c>
      <c r="G108" s="17">
        <f t="shared" si="8"/>
        <v>0</v>
      </c>
      <c r="H108" s="18">
        <v>3000</v>
      </c>
      <c r="I108" s="19">
        <f t="shared" si="10"/>
        <v>30600</v>
      </c>
      <c r="J108" s="19">
        <f t="shared" si="9"/>
        <v>0</v>
      </c>
      <c r="K108" s="19">
        <f t="shared" si="11"/>
        <v>33600</v>
      </c>
      <c r="L108" s="20"/>
    </row>
    <row r="109" spans="1:13" s="6" customFormat="1" ht="18" customHeight="1" x14ac:dyDescent="0.25">
      <c r="A109" s="13" t="s">
        <v>217</v>
      </c>
      <c r="B109" s="14" t="s">
        <v>218</v>
      </c>
      <c r="C109" s="17">
        <v>2853</v>
      </c>
      <c r="D109" s="17">
        <v>2873</v>
      </c>
      <c r="E109" s="16">
        <f t="shared" si="7"/>
        <v>20</v>
      </c>
      <c r="F109" s="17">
        <v>20</v>
      </c>
      <c r="G109" s="17">
        <f t="shared" si="8"/>
        <v>0</v>
      </c>
      <c r="H109" s="18">
        <v>3000</v>
      </c>
      <c r="I109" s="19">
        <f t="shared" si="10"/>
        <v>36000</v>
      </c>
      <c r="J109" s="19">
        <f t="shared" si="9"/>
        <v>0</v>
      </c>
      <c r="K109" s="19">
        <f t="shared" si="11"/>
        <v>39000</v>
      </c>
      <c r="L109" s="20"/>
      <c r="M109" s="37" t="s">
        <v>377</v>
      </c>
    </row>
    <row r="110" spans="1:13" s="6" customFormat="1" ht="18" customHeight="1" x14ac:dyDescent="0.25">
      <c r="A110" s="13" t="s">
        <v>219</v>
      </c>
      <c r="B110" s="14" t="s">
        <v>220</v>
      </c>
      <c r="C110" s="17">
        <v>505</v>
      </c>
      <c r="D110" s="17">
        <v>508</v>
      </c>
      <c r="E110" s="16">
        <f t="shared" si="7"/>
        <v>3</v>
      </c>
      <c r="F110" s="17">
        <v>3</v>
      </c>
      <c r="G110" s="17">
        <f t="shared" si="8"/>
        <v>0</v>
      </c>
      <c r="H110" s="18">
        <v>3000</v>
      </c>
      <c r="I110" s="19">
        <f t="shared" si="10"/>
        <v>5400</v>
      </c>
      <c r="J110" s="19">
        <f t="shared" si="9"/>
        <v>0</v>
      </c>
      <c r="K110" s="19">
        <f t="shared" si="11"/>
        <v>8400</v>
      </c>
      <c r="L110" s="20"/>
    </row>
    <row r="111" spans="1:13" s="6" customFormat="1" ht="18" customHeight="1" x14ac:dyDescent="0.25">
      <c r="A111" s="13" t="s">
        <v>221</v>
      </c>
      <c r="B111" s="14" t="s">
        <v>222</v>
      </c>
      <c r="C111" s="17">
        <v>1387</v>
      </c>
      <c r="D111" s="17">
        <v>1398</v>
      </c>
      <c r="E111" s="16">
        <f t="shared" si="7"/>
        <v>11</v>
      </c>
      <c r="F111" s="17">
        <v>11</v>
      </c>
      <c r="G111" s="17">
        <f t="shared" si="8"/>
        <v>0</v>
      </c>
      <c r="H111" s="18">
        <v>3000</v>
      </c>
      <c r="I111" s="19">
        <f t="shared" si="10"/>
        <v>19800</v>
      </c>
      <c r="J111" s="19">
        <f t="shared" si="9"/>
        <v>0</v>
      </c>
      <c r="K111" s="19">
        <f t="shared" si="11"/>
        <v>22800</v>
      </c>
      <c r="L111" s="20"/>
    </row>
    <row r="112" spans="1:13" s="6" customFormat="1" ht="18" customHeight="1" x14ac:dyDescent="0.25">
      <c r="A112" s="13" t="s">
        <v>223</v>
      </c>
      <c r="B112" s="14" t="s">
        <v>224</v>
      </c>
      <c r="C112" s="22">
        <v>1540</v>
      </c>
      <c r="D112" s="22">
        <v>1546</v>
      </c>
      <c r="E112" s="16">
        <f t="shared" si="7"/>
        <v>6</v>
      </c>
      <c r="F112" s="17">
        <v>6</v>
      </c>
      <c r="G112" s="17">
        <f t="shared" si="8"/>
        <v>0</v>
      </c>
      <c r="H112" s="18">
        <v>3000</v>
      </c>
      <c r="I112" s="19">
        <f t="shared" si="10"/>
        <v>10800</v>
      </c>
      <c r="J112" s="19">
        <f t="shared" si="9"/>
        <v>0</v>
      </c>
      <c r="K112" s="19">
        <f t="shared" si="11"/>
        <v>13800</v>
      </c>
      <c r="L112" s="20"/>
      <c r="M112" s="37" t="s">
        <v>364</v>
      </c>
    </row>
    <row r="113" spans="1:13" s="6" customFormat="1" ht="18" customHeight="1" x14ac:dyDescent="0.25">
      <c r="A113" s="13" t="s">
        <v>225</v>
      </c>
      <c r="B113" s="14" t="s">
        <v>226</v>
      </c>
      <c r="C113" s="22">
        <v>1340</v>
      </c>
      <c r="D113" s="22">
        <v>1352</v>
      </c>
      <c r="E113" s="16">
        <f t="shared" si="7"/>
        <v>12</v>
      </c>
      <c r="F113" s="17">
        <v>12</v>
      </c>
      <c r="G113" s="17">
        <f t="shared" si="8"/>
        <v>0</v>
      </c>
      <c r="H113" s="18">
        <v>3000</v>
      </c>
      <c r="I113" s="19">
        <f t="shared" si="10"/>
        <v>21600</v>
      </c>
      <c r="J113" s="19">
        <f t="shared" si="9"/>
        <v>0</v>
      </c>
      <c r="K113" s="19">
        <f t="shared" si="11"/>
        <v>24600</v>
      </c>
      <c r="L113" s="20"/>
      <c r="M113" s="37" t="s">
        <v>364</v>
      </c>
    </row>
    <row r="114" spans="1:13" s="6" customFormat="1" ht="18" customHeight="1" x14ac:dyDescent="0.25">
      <c r="A114" s="13" t="s">
        <v>227</v>
      </c>
      <c r="B114" s="14" t="s">
        <v>228</v>
      </c>
      <c r="C114" s="17">
        <v>1672</v>
      </c>
      <c r="D114" s="17">
        <v>1692</v>
      </c>
      <c r="E114" s="16">
        <f t="shared" si="7"/>
        <v>20</v>
      </c>
      <c r="F114" s="17">
        <v>20</v>
      </c>
      <c r="G114" s="17">
        <f t="shared" si="8"/>
        <v>0</v>
      </c>
      <c r="H114" s="18">
        <v>3000</v>
      </c>
      <c r="I114" s="19">
        <f t="shared" si="10"/>
        <v>36000</v>
      </c>
      <c r="J114" s="19">
        <f t="shared" si="9"/>
        <v>0</v>
      </c>
      <c r="K114" s="19">
        <f t="shared" si="11"/>
        <v>39000</v>
      </c>
      <c r="L114" s="20"/>
      <c r="M114" s="37"/>
    </row>
    <row r="115" spans="1:13" s="6" customFormat="1" ht="18" customHeight="1" x14ac:dyDescent="0.25">
      <c r="A115" s="13" t="s">
        <v>229</v>
      </c>
      <c r="B115" s="14" t="s">
        <v>230</v>
      </c>
      <c r="C115" s="17">
        <v>2799</v>
      </c>
      <c r="D115" s="17">
        <v>2814</v>
      </c>
      <c r="E115" s="16">
        <f t="shared" si="7"/>
        <v>15</v>
      </c>
      <c r="F115" s="17">
        <v>15</v>
      </c>
      <c r="G115" s="17">
        <f t="shared" si="8"/>
        <v>0</v>
      </c>
      <c r="H115" s="18">
        <v>3000</v>
      </c>
      <c r="I115" s="19">
        <f t="shared" si="10"/>
        <v>27000</v>
      </c>
      <c r="J115" s="19">
        <f t="shared" si="9"/>
        <v>0</v>
      </c>
      <c r="K115" s="19">
        <f t="shared" si="11"/>
        <v>30000</v>
      </c>
      <c r="L115" s="20"/>
    </row>
    <row r="116" spans="1:13" s="6" customFormat="1" ht="18" customHeight="1" x14ac:dyDescent="0.25">
      <c r="A116" s="13" t="s">
        <v>231</v>
      </c>
      <c r="B116" s="24" t="s">
        <v>232</v>
      </c>
      <c r="C116" s="17">
        <v>3161</v>
      </c>
      <c r="D116" s="17">
        <v>3181</v>
      </c>
      <c r="E116" s="16">
        <f t="shared" si="7"/>
        <v>20</v>
      </c>
      <c r="F116" s="17">
        <v>20</v>
      </c>
      <c r="G116" s="17">
        <f t="shared" si="8"/>
        <v>0</v>
      </c>
      <c r="H116" s="18">
        <v>3000</v>
      </c>
      <c r="I116" s="19">
        <f t="shared" si="10"/>
        <v>36000</v>
      </c>
      <c r="J116" s="19">
        <f t="shared" si="9"/>
        <v>0</v>
      </c>
      <c r="K116" s="19">
        <f t="shared" si="11"/>
        <v>39000</v>
      </c>
      <c r="L116" s="20"/>
      <c r="M116" s="37" t="s">
        <v>365</v>
      </c>
    </row>
    <row r="117" spans="1:13" s="6" customFormat="1" ht="18" customHeight="1" x14ac:dyDescent="0.25">
      <c r="A117" s="13" t="s">
        <v>233</v>
      </c>
      <c r="B117" s="14" t="s">
        <v>234</v>
      </c>
      <c r="C117" s="17">
        <v>1236</v>
      </c>
      <c r="D117" s="17">
        <v>1251</v>
      </c>
      <c r="E117" s="16">
        <f t="shared" si="7"/>
        <v>15</v>
      </c>
      <c r="F117" s="17">
        <v>15</v>
      </c>
      <c r="G117" s="17">
        <f t="shared" si="8"/>
        <v>0</v>
      </c>
      <c r="H117" s="18">
        <v>3000</v>
      </c>
      <c r="I117" s="19">
        <f t="shared" si="10"/>
        <v>27000</v>
      </c>
      <c r="J117" s="19">
        <f t="shared" si="9"/>
        <v>0</v>
      </c>
      <c r="K117" s="19">
        <f t="shared" si="11"/>
        <v>30000</v>
      </c>
      <c r="L117" s="20"/>
    </row>
    <row r="118" spans="1:13" s="6" customFormat="1" ht="18" customHeight="1" x14ac:dyDescent="0.25">
      <c r="A118" s="13" t="s">
        <v>235</v>
      </c>
      <c r="B118" s="14" t="s">
        <v>236</v>
      </c>
      <c r="C118" s="17">
        <v>1922</v>
      </c>
      <c r="D118" s="17">
        <v>1936</v>
      </c>
      <c r="E118" s="16">
        <f t="shared" si="7"/>
        <v>14</v>
      </c>
      <c r="F118" s="17">
        <v>14</v>
      </c>
      <c r="G118" s="17">
        <f t="shared" si="8"/>
        <v>0</v>
      </c>
      <c r="H118" s="18">
        <v>3000</v>
      </c>
      <c r="I118" s="19">
        <f t="shared" si="10"/>
        <v>25200</v>
      </c>
      <c r="J118" s="19">
        <f t="shared" si="9"/>
        <v>0</v>
      </c>
      <c r="K118" s="19">
        <f t="shared" si="11"/>
        <v>28200</v>
      </c>
      <c r="L118" s="20"/>
    </row>
    <row r="119" spans="1:13" s="6" customFormat="1" ht="18" customHeight="1" x14ac:dyDescent="0.25">
      <c r="A119" s="13" t="s">
        <v>237</v>
      </c>
      <c r="B119" s="14" t="s">
        <v>238</v>
      </c>
      <c r="C119" s="17">
        <v>5572</v>
      </c>
      <c r="D119" s="17">
        <v>5591</v>
      </c>
      <c r="E119" s="16">
        <f t="shared" si="7"/>
        <v>19</v>
      </c>
      <c r="F119" s="17">
        <v>19</v>
      </c>
      <c r="G119" s="17">
        <f t="shared" si="8"/>
        <v>0</v>
      </c>
      <c r="H119" s="18">
        <v>3000</v>
      </c>
      <c r="I119" s="19">
        <f t="shared" si="10"/>
        <v>34200</v>
      </c>
      <c r="J119" s="19">
        <f t="shared" si="9"/>
        <v>0</v>
      </c>
      <c r="K119" s="19">
        <f t="shared" si="11"/>
        <v>37200</v>
      </c>
      <c r="L119" s="20"/>
      <c r="M119" s="37" t="s">
        <v>366</v>
      </c>
    </row>
    <row r="120" spans="1:13" s="6" customFormat="1" ht="18" customHeight="1" x14ac:dyDescent="0.25">
      <c r="A120" s="13" t="s">
        <v>239</v>
      </c>
      <c r="B120" s="14" t="s">
        <v>240</v>
      </c>
      <c r="C120" s="17">
        <v>81</v>
      </c>
      <c r="D120" s="17">
        <v>82</v>
      </c>
      <c r="E120" s="16">
        <f t="shared" si="7"/>
        <v>1</v>
      </c>
      <c r="F120" s="17">
        <v>1</v>
      </c>
      <c r="G120" s="17">
        <f t="shared" si="8"/>
        <v>0</v>
      </c>
      <c r="H120" s="18"/>
      <c r="I120" s="19"/>
      <c r="J120" s="19"/>
      <c r="K120" s="19"/>
      <c r="L120" s="20"/>
    </row>
    <row r="121" spans="1:13" s="6" customFormat="1" ht="18" customHeight="1" x14ac:dyDescent="0.25">
      <c r="A121" s="13" t="s">
        <v>241</v>
      </c>
      <c r="B121" s="14" t="s">
        <v>242</v>
      </c>
      <c r="C121" s="22">
        <v>1882</v>
      </c>
      <c r="D121" s="22">
        <v>1898</v>
      </c>
      <c r="E121" s="16">
        <f t="shared" si="7"/>
        <v>16</v>
      </c>
      <c r="F121" s="17">
        <v>16</v>
      </c>
      <c r="G121" s="17">
        <f t="shared" si="8"/>
        <v>0</v>
      </c>
      <c r="H121" s="18">
        <v>3000</v>
      </c>
      <c r="I121" s="19">
        <f t="shared" si="10"/>
        <v>28800</v>
      </c>
      <c r="J121" s="19">
        <f t="shared" si="9"/>
        <v>0</v>
      </c>
      <c r="K121" s="19">
        <f t="shared" si="11"/>
        <v>31800</v>
      </c>
      <c r="L121" s="20"/>
      <c r="M121" s="37" t="s">
        <v>368</v>
      </c>
    </row>
    <row r="122" spans="1:13" s="6" customFormat="1" ht="18" customHeight="1" x14ac:dyDescent="0.25">
      <c r="A122" s="13" t="s">
        <v>243</v>
      </c>
      <c r="B122" s="14" t="s">
        <v>244</v>
      </c>
      <c r="C122" s="17">
        <v>2936</v>
      </c>
      <c r="D122" s="17">
        <v>2964</v>
      </c>
      <c r="E122" s="16">
        <f t="shared" si="7"/>
        <v>28</v>
      </c>
      <c r="F122" s="17">
        <v>28</v>
      </c>
      <c r="G122" s="17">
        <f t="shared" si="8"/>
        <v>0</v>
      </c>
      <c r="H122" s="18">
        <v>3000</v>
      </c>
      <c r="I122" s="19">
        <f t="shared" si="10"/>
        <v>50400</v>
      </c>
      <c r="J122" s="19">
        <f t="shared" si="9"/>
        <v>0</v>
      </c>
      <c r="K122" s="19">
        <f t="shared" si="11"/>
        <v>53400</v>
      </c>
      <c r="L122" s="20"/>
      <c r="M122" s="37" t="s">
        <v>385</v>
      </c>
    </row>
    <row r="123" spans="1:13" s="6" customFormat="1" ht="18" customHeight="1" x14ac:dyDescent="0.25">
      <c r="A123" s="13" t="s">
        <v>245</v>
      </c>
      <c r="B123" s="14" t="s">
        <v>246</v>
      </c>
      <c r="C123" s="17">
        <v>1933</v>
      </c>
      <c r="D123" s="17">
        <v>1954</v>
      </c>
      <c r="E123" s="16">
        <f t="shared" si="7"/>
        <v>21</v>
      </c>
      <c r="F123" s="17">
        <v>21</v>
      </c>
      <c r="G123" s="17">
        <f t="shared" si="8"/>
        <v>0</v>
      </c>
      <c r="H123" s="18">
        <v>3000</v>
      </c>
      <c r="I123" s="19">
        <f t="shared" si="10"/>
        <v>37800</v>
      </c>
      <c r="J123" s="19">
        <f t="shared" si="9"/>
        <v>0</v>
      </c>
      <c r="K123" s="19">
        <f t="shared" si="11"/>
        <v>40800</v>
      </c>
      <c r="L123" s="20"/>
      <c r="M123" s="37" t="s">
        <v>367</v>
      </c>
    </row>
    <row r="124" spans="1:13" s="6" customFormat="1" ht="18" customHeight="1" x14ac:dyDescent="0.25">
      <c r="A124" s="13" t="s">
        <v>247</v>
      </c>
      <c r="B124" s="14" t="s">
        <v>248</v>
      </c>
      <c r="C124" s="22">
        <v>37</v>
      </c>
      <c r="D124" s="22">
        <v>48</v>
      </c>
      <c r="E124" s="16">
        <f>D124-C124</f>
        <v>11</v>
      </c>
      <c r="F124" s="17">
        <v>11</v>
      </c>
      <c r="G124" s="17">
        <f>(E124-F124)</f>
        <v>0</v>
      </c>
      <c r="H124" s="18">
        <v>3000</v>
      </c>
      <c r="I124" s="19">
        <f t="shared" si="10"/>
        <v>19800</v>
      </c>
      <c r="J124" s="19">
        <f>G124*3000</f>
        <v>0</v>
      </c>
      <c r="K124" s="19">
        <f t="shared" si="11"/>
        <v>22800</v>
      </c>
      <c r="L124" s="20"/>
      <c r="M124" s="37" t="s">
        <v>387</v>
      </c>
    </row>
    <row r="125" spans="1:13" s="6" customFormat="1" ht="18" customHeight="1" x14ac:dyDescent="0.25">
      <c r="A125" s="13" t="s">
        <v>249</v>
      </c>
      <c r="B125" s="14" t="s">
        <v>250</v>
      </c>
      <c r="C125" s="22">
        <v>1284</v>
      </c>
      <c r="D125" s="22">
        <v>1293</v>
      </c>
      <c r="E125" s="16">
        <f t="shared" si="7"/>
        <v>9</v>
      </c>
      <c r="F125" s="17">
        <v>9</v>
      </c>
      <c r="G125" s="17">
        <f t="shared" si="8"/>
        <v>0</v>
      </c>
      <c r="H125" s="18">
        <v>3000</v>
      </c>
      <c r="I125" s="19">
        <f t="shared" si="10"/>
        <v>16200</v>
      </c>
      <c r="J125" s="31">
        <f t="shared" si="9"/>
        <v>0</v>
      </c>
      <c r="K125" s="19">
        <f t="shared" si="11"/>
        <v>19200</v>
      </c>
      <c r="L125" s="20"/>
      <c r="M125" s="37" t="s">
        <v>386</v>
      </c>
    </row>
    <row r="126" spans="1:13" s="6" customFormat="1" ht="18" customHeight="1" x14ac:dyDescent="0.25">
      <c r="A126" s="13" t="s">
        <v>251</v>
      </c>
      <c r="B126" s="14" t="s">
        <v>252</v>
      </c>
      <c r="C126" s="17">
        <v>593</v>
      </c>
      <c r="D126" s="17">
        <v>604</v>
      </c>
      <c r="E126" s="16">
        <f t="shared" si="7"/>
        <v>11</v>
      </c>
      <c r="F126" s="17">
        <v>11</v>
      </c>
      <c r="G126" s="17">
        <f t="shared" si="8"/>
        <v>0</v>
      </c>
      <c r="H126" s="18">
        <v>3000</v>
      </c>
      <c r="I126" s="19">
        <f t="shared" si="10"/>
        <v>19800</v>
      </c>
      <c r="J126" s="19">
        <f t="shared" si="9"/>
        <v>0</v>
      </c>
      <c r="K126" s="19">
        <f t="shared" si="11"/>
        <v>22800</v>
      </c>
      <c r="L126" s="20"/>
    </row>
    <row r="127" spans="1:13" s="6" customFormat="1" ht="18" customHeight="1" x14ac:dyDescent="0.25">
      <c r="A127" s="13" t="s">
        <v>253</v>
      </c>
      <c r="B127" s="14" t="s">
        <v>254</v>
      </c>
      <c r="C127" s="22">
        <v>9396</v>
      </c>
      <c r="D127" s="22">
        <v>9466</v>
      </c>
      <c r="E127" s="16">
        <f t="shared" si="7"/>
        <v>70</v>
      </c>
      <c r="F127" s="17">
        <v>40</v>
      </c>
      <c r="G127" s="17">
        <f t="shared" si="8"/>
        <v>30</v>
      </c>
      <c r="H127" s="18">
        <v>3000</v>
      </c>
      <c r="I127" s="19">
        <f t="shared" si="10"/>
        <v>72000</v>
      </c>
      <c r="J127" s="19">
        <f t="shared" si="9"/>
        <v>90000</v>
      </c>
      <c r="K127" s="19">
        <f t="shared" si="11"/>
        <v>165000</v>
      </c>
      <c r="L127" s="20"/>
      <c r="M127" s="37" t="s">
        <v>369</v>
      </c>
    </row>
    <row r="128" spans="1:13" s="6" customFormat="1" ht="18" customHeight="1" x14ac:dyDescent="0.25">
      <c r="A128" s="13" t="s">
        <v>255</v>
      </c>
      <c r="B128" s="24" t="s">
        <v>256</v>
      </c>
      <c r="C128" s="25">
        <v>32</v>
      </c>
      <c r="D128" s="25">
        <v>46</v>
      </c>
      <c r="E128" s="25">
        <f>D128-C128</f>
        <v>14</v>
      </c>
      <c r="F128" s="25">
        <v>14</v>
      </c>
      <c r="G128" s="25">
        <f>(E128-F128)</f>
        <v>0</v>
      </c>
      <c r="H128" s="18">
        <v>3000</v>
      </c>
      <c r="I128" s="19">
        <f>F128*1800</f>
        <v>25200</v>
      </c>
      <c r="J128" s="19">
        <f>G128*3000</f>
        <v>0</v>
      </c>
      <c r="K128" s="19">
        <f>H128+I128+J128</f>
        <v>28200</v>
      </c>
      <c r="L128" s="26"/>
    </row>
    <row r="129" spans="1:13" s="6" customFormat="1" ht="18" customHeight="1" x14ac:dyDescent="0.25">
      <c r="A129" s="13" t="s">
        <v>257</v>
      </c>
      <c r="B129" s="14" t="s">
        <v>258</v>
      </c>
      <c r="C129" s="17">
        <v>7806</v>
      </c>
      <c r="D129" s="17">
        <v>7811</v>
      </c>
      <c r="E129" s="16">
        <f t="shared" si="7"/>
        <v>5</v>
      </c>
      <c r="F129" s="17">
        <v>5</v>
      </c>
      <c r="G129" s="17">
        <f t="shared" si="8"/>
        <v>0</v>
      </c>
      <c r="H129" s="18">
        <v>3000</v>
      </c>
      <c r="I129" s="19">
        <f t="shared" si="10"/>
        <v>9000</v>
      </c>
      <c r="J129" s="19">
        <f t="shared" si="9"/>
        <v>0</v>
      </c>
      <c r="K129" s="19">
        <f t="shared" si="11"/>
        <v>12000</v>
      </c>
      <c r="L129" s="23"/>
    </row>
    <row r="130" spans="1:13" s="6" customFormat="1" ht="18" customHeight="1" x14ac:dyDescent="0.25">
      <c r="A130" s="13" t="s">
        <v>259</v>
      </c>
      <c r="B130" s="14" t="s">
        <v>260</v>
      </c>
      <c r="C130" s="22">
        <v>7815</v>
      </c>
      <c r="D130" s="22">
        <v>7817</v>
      </c>
      <c r="E130" s="16">
        <f t="shared" si="7"/>
        <v>2</v>
      </c>
      <c r="F130" s="17">
        <v>2</v>
      </c>
      <c r="G130" s="17">
        <f t="shared" si="8"/>
        <v>0</v>
      </c>
      <c r="H130" s="18">
        <v>3000</v>
      </c>
      <c r="I130" s="19">
        <f t="shared" si="10"/>
        <v>3600</v>
      </c>
      <c r="J130" s="19">
        <f t="shared" si="9"/>
        <v>0</v>
      </c>
      <c r="K130" s="19">
        <f t="shared" si="11"/>
        <v>6600</v>
      </c>
      <c r="L130" s="23"/>
    </row>
    <row r="131" spans="1:13" s="6" customFormat="1" ht="18" customHeight="1" x14ac:dyDescent="0.25">
      <c r="A131" s="13" t="s">
        <v>261</v>
      </c>
      <c r="B131" s="14" t="s">
        <v>262</v>
      </c>
      <c r="C131" s="17">
        <v>2965</v>
      </c>
      <c r="D131" s="17">
        <v>2996</v>
      </c>
      <c r="E131" s="16">
        <f t="shared" si="7"/>
        <v>31</v>
      </c>
      <c r="F131" s="17">
        <v>31</v>
      </c>
      <c r="G131" s="17">
        <f t="shared" si="8"/>
        <v>0</v>
      </c>
      <c r="H131" s="18">
        <v>3000</v>
      </c>
      <c r="I131" s="19">
        <f t="shared" si="10"/>
        <v>55800</v>
      </c>
      <c r="J131" s="19">
        <f t="shared" si="9"/>
        <v>0</v>
      </c>
      <c r="K131" s="19">
        <f t="shared" si="11"/>
        <v>58800</v>
      </c>
      <c r="L131" s="20"/>
      <c r="M131" s="37" t="s">
        <v>370</v>
      </c>
    </row>
    <row r="132" spans="1:13" s="6" customFormat="1" ht="18" customHeight="1" x14ac:dyDescent="0.25">
      <c r="A132" s="13" t="s">
        <v>263</v>
      </c>
      <c r="B132" s="14" t="s">
        <v>264</v>
      </c>
      <c r="C132" s="22">
        <v>918</v>
      </c>
      <c r="D132" s="22">
        <v>936</v>
      </c>
      <c r="E132" s="16">
        <f t="shared" si="7"/>
        <v>18</v>
      </c>
      <c r="F132" s="17">
        <v>18</v>
      </c>
      <c r="G132" s="17">
        <f t="shared" si="8"/>
        <v>0</v>
      </c>
      <c r="H132" s="18">
        <v>3000</v>
      </c>
      <c r="I132" s="19">
        <f t="shared" si="10"/>
        <v>32400</v>
      </c>
      <c r="J132" s="19">
        <f t="shared" si="9"/>
        <v>0</v>
      </c>
      <c r="K132" s="19">
        <f t="shared" si="11"/>
        <v>35400</v>
      </c>
      <c r="L132" s="20"/>
    </row>
    <row r="133" spans="1:13" s="6" customFormat="1" ht="18" customHeight="1" x14ac:dyDescent="0.25">
      <c r="A133" s="13" t="s">
        <v>265</v>
      </c>
      <c r="B133" s="14" t="s">
        <v>266</v>
      </c>
      <c r="C133" s="17">
        <v>2387</v>
      </c>
      <c r="D133" s="17">
        <v>2402</v>
      </c>
      <c r="E133" s="16">
        <f t="shared" si="7"/>
        <v>15</v>
      </c>
      <c r="F133" s="17">
        <v>15</v>
      </c>
      <c r="G133" s="17">
        <f t="shared" si="8"/>
        <v>0</v>
      </c>
      <c r="H133" s="18">
        <v>3000</v>
      </c>
      <c r="I133" s="19">
        <f t="shared" si="10"/>
        <v>27000</v>
      </c>
      <c r="J133" s="19">
        <f t="shared" si="9"/>
        <v>0</v>
      </c>
      <c r="K133" s="19">
        <f t="shared" si="11"/>
        <v>30000</v>
      </c>
      <c r="L133" s="20"/>
    </row>
    <row r="134" spans="1:13" s="6" customFormat="1" ht="18" customHeight="1" x14ac:dyDescent="0.25">
      <c r="A134" s="13" t="s">
        <v>267</v>
      </c>
      <c r="B134" s="14" t="s">
        <v>268</v>
      </c>
      <c r="C134" s="17">
        <v>2779</v>
      </c>
      <c r="D134" s="17">
        <v>2802</v>
      </c>
      <c r="E134" s="16">
        <f t="shared" si="7"/>
        <v>23</v>
      </c>
      <c r="F134" s="17">
        <v>23</v>
      </c>
      <c r="G134" s="17">
        <f t="shared" si="8"/>
        <v>0</v>
      </c>
      <c r="H134" s="18">
        <v>3000</v>
      </c>
      <c r="I134" s="19">
        <f t="shared" si="10"/>
        <v>41400</v>
      </c>
      <c r="J134" s="19">
        <f t="shared" si="9"/>
        <v>0</v>
      </c>
      <c r="K134" s="19">
        <f t="shared" si="11"/>
        <v>44400</v>
      </c>
      <c r="L134" s="20"/>
    </row>
    <row r="135" spans="1:13" s="6" customFormat="1" ht="18" customHeight="1" x14ac:dyDescent="0.25">
      <c r="A135" s="13" t="s">
        <v>269</v>
      </c>
      <c r="B135" s="14" t="s">
        <v>270</v>
      </c>
      <c r="C135" s="17">
        <v>2287</v>
      </c>
      <c r="D135" s="17">
        <v>2301</v>
      </c>
      <c r="E135" s="16">
        <f t="shared" si="7"/>
        <v>14</v>
      </c>
      <c r="F135" s="17">
        <v>14</v>
      </c>
      <c r="G135" s="17">
        <f t="shared" si="8"/>
        <v>0</v>
      </c>
      <c r="H135" s="18">
        <v>3000</v>
      </c>
      <c r="I135" s="19">
        <f t="shared" si="10"/>
        <v>25200</v>
      </c>
      <c r="J135" s="19">
        <f t="shared" si="9"/>
        <v>0</v>
      </c>
      <c r="K135" s="19">
        <f t="shared" si="11"/>
        <v>28200</v>
      </c>
      <c r="L135" s="20"/>
      <c r="M135" s="37" t="s">
        <v>395</v>
      </c>
    </row>
    <row r="136" spans="1:13" s="6" customFormat="1" ht="18" customHeight="1" x14ac:dyDescent="0.25">
      <c r="A136" s="13" t="s">
        <v>271</v>
      </c>
      <c r="B136" s="14" t="s">
        <v>272</v>
      </c>
      <c r="C136" s="17">
        <v>2654</v>
      </c>
      <c r="D136" s="17">
        <v>2668</v>
      </c>
      <c r="E136" s="16">
        <f t="shared" si="7"/>
        <v>14</v>
      </c>
      <c r="F136" s="17">
        <v>14</v>
      </c>
      <c r="G136" s="17">
        <f t="shared" si="8"/>
        <v>0</v>
      </c>
      <c r="H136" s="18">
        <v>3000</v>
      </c>
      <c r="I136" s="19">
        <f t="shared" si="10"/>
        <v>25200</v>
      </c>
      <c r="J136" s="19">
        <f t="shared" si="9"/>
        <v>0</v>
      </c>
      <c r="K136" s="19">
        <f t="shared" si="11"/>
        <v>28200</v>
      </c>
      <c r="L136" s="20"/>
      <c r="M136" s="37" t="s">
        <v>371</v>
      </c>
    </row>
    <row r="137" spans="1:13" s="6" customFormat="1" ht="18" customHeight="1" x14ac:dyDescent="0.25">
      <c r="A137" s="13" t="s">
        <v>273</v>
      </c>
      <c r="B137" s="14" t="s">
        <v>274</v>
      </c>
      <c r="C137" s="22">
        <v>3757</v>
      </c>
      <c r="D137" s="22">
        <v>3767</v>
      </c>
      <c r="E137" s="16">
        <f t="shared" si="7"/>
        <v>10</v>
      </c>
      <c r="F137" s="17">
        <v>10</v>
      </c>
      <c r="G137" s="17">
        <f t="shared" si="8"/>
        <v>0</v>
      </c>
      <c r="H137" s="18">
        <v>3000</v>
      </c>
      <c r="I137" s="19">
        <f t="shared" si="10"/>
        <v>18000</v>
      </c>
      <c r="J137" s="19">
        <f t="shared" si="9"/>
        <v>0</v>
      </c>
      <c r="K137" s="19">
        <f t="shared" si="11"/>
        <v>21000</v>
      </c>
      <c r="L137" s="20"/>
      <c r="M137" s="37" t="s">
        <v>372</v>
      </c>
    </row>
    <row r="138" spans="1:13" s="6" customFormat="1" ht="18" customHeight="1" x14ac:dyDescent="0.25">
      <c r="A138" s="13" t="s">
        <v>275</v>
      </c>
      <c r="B138" s="14" t="s">
        <v>276</v>
      </c>
      <c r="C138" s="17">
        <v>1802</v>
      </c>
      <c r="D138" s="17">
        <v>1816</v>
      </c>
      <c r="E138" s="16">
        <f t="shared" si="7"/>
        <v>14</v>
      </c>
      <c r="F138" s="17">
        <v>14</v>
      </c>
      <c r="G138" s="17">
        <f t="shared" si="8"/>
        <v>0</v>
      </c>
      <c r="H138" s="18">
        <v>3000</v>
      </c>
      <c r="I138" s="19">
        <f t="shared" si="10"/>
        <v>25200</v>
      </c>
      <c r="J138" s="19">
        <f t="shared" si="9"/>
        <v>0</v>
      </c>
      <c r="K138" s="19">
        <f t="shared" si="11"/>
        <v>28200</v>
      </c>
      <c r="L138" s="20"/>
    </row>
    <row r="139" spans="1:13" s="6" customFormat="1" ht="18" customHeight="1" x14ac:dyDescent="0.25">
      <c r="A139" s="13" t="s">
        <v>277</v>
      </c>
      <c r="B139" s="14" t="s">
        <v>278</v>
      </c>
      <c r="C139" s="17">
        <v>3444</v>
      </c>
      <c r="D139" s="17">
        <v>3473</v>
      </c>
      <c r="E139" s="16">
        <f t="shared" si="7"/>
        <v>29</v>
      </c>
      <c r="F139" s="17">
        <v>29</v>
      </c>
      <c r="G139" s="17">
        <f t="shared" si="8"/>
        <v>0</v>
      </c>
      <c r="H139" s="18">
        <v>3000</v>
      </c>
      <c r="I139" s="19">
        <f t="shared" si="10"/>
        <v>52200</v>
      </c>
      <c r="J139" s="19">
        <f t="shared" si="9"/>
        <v>0</v>
      </c>
      <c r="K139" s="19">
        <f t="shared" si="11"/>
        <v>55200</v>
      </c>
      <c r="L139" s="20"/>
    </row>
    <row r="140" spans="1:13" s="6" customFormat="1" ht="18" customHeight="1" x14ac:dyDescent="0.25">
      <c r="A140" s="13" t="s">
        <v>279</v>
      </c>
      <c r="B140" s="14" t="s">
        <v>280</v>
      </c>
      <c r="C140" s="17">
        <v>1058</v>
      </c>
      <c r="D140" s="17">
        <v>1062</v>
      </c>
      <c r="E140" s="16">
        <f t="shared" si="7"/>
        <v>4</v>
      </c>
      <c r="F140" s="17">
        <v>4</v>
      </c>
      <c r="G140" s="17">
        <f t="shared" si="8"/>
        <v>0</v>
      </c>
      <c r="H140" s="18">
        <v>3000</v>
      </c>
      <c r="I140" s="19">
        <f>F140*1000</f>
        <v>4000</v>
      </c>
      <c r="J140" s="19">
        <f t="shared" si="9"/>
        <v>0</v>
      </c>
      <c r="K140" s="19">
        <f t="shared" si="11"/>
        <v>7000</v>
      </c>
      <c r="L140" s="20"/>
    </row>
    <row r="141" spans="1:13" s="6" customFormat="1" ht="18" customHeight="1" x14ac:dyDescent="0.25">
      <c r="A141" s="13" t="s">
        <v>281</v>
      </c>
      <c r="B141" s="14" t="s">
        <v>40</v>
      </c>
      <c r="C141" s="22">
        <v>950</v>
      </c>
      <c r="D141" s="22">
        <v>956</v>
      </c>
      <c r="E141" s="16">
        <f t="shared" si="7"/>
        <v>6</v>
      </c>
      <c r="F141" s="17">
        <v>6</v>
      </c>
      <c r="G141" s="17">
        <f t="shared" si="8"/>
        <v>0</v>
      </c>
      <c r="H141" s="18">
        <v>3000</v>
      </c>
      <c r="I141" s="19">
        <f>F141*1800</f>
        <v>10800</v>
      </c>
      <c r="J141" s="19">
        <f t="shared" si="9"/>
        <v>0</v>
      </c>
      <c r="K141" s="19">
        <f t="shared" si="11"/>
        <v>13800</v>
      </c>
      <c r="L141" s="20"/>
    </row>
    <row r="142" spans="1:13" s="6" customFormat="1" ht="18" customHeight="1" x14ac:dyDescent="0.25">
      <c r="A142" s="13" t="s">
        <v>282</v>
      </c>
      <c r="B142" s="14" t="s">
        <v>283</v>
      </c>
      <c r="C142" s="17">
        <v>1411</v>
      </c>
      <c r="D142" s="17">
        <v>1423</v>
      </c>
      <c r="E142" s="16">
        <f t="shared" si="7"/>
        <v>12</v>
      </c>
      <c r="F142" s="17">
        <v>12</v>
      </c>
      <c r="G142" s="17">
        <f t="shared" si="8"/>
        <v>0</v>
      </c>
      <c r="H142" s="18">
        <v>3000</v>
      </c>
      <c r="I142" s="19">
        <f t="shared" si="10"/>
        <v>21600</v>
      </c>
      <c r="J142" s="19">
        <f t="shared" si="9"/>
        <v>0</v>
      </c>
      <c r="K142" s="19">
        <f t="shared" si="11"/>
        <v>24600</v>
      </c>
      <c r="L142" s="20"/>
    </row>
    <row r="143" spans="1:13" s="6" customFormat="1" ht="18" customHeight="1" x14ac:dyDescent="0.25">
      <c r="A143" s="13" t="s">
        <v>284</v>
      </c>
      <c r="B143" s="14" t="s">
        <v>285</v>
      </c>
      <c r="C143" s="17">
        <v>2035</v>
      </c>
      <c r="D143" s="17">
        <v>2126</v>
      </c>
      <c r="E143" s="16">
        <f t="shared" si="7"/>
        <v>91</v>
      </c>
      <c r="F143" s="17">
        <v>40</v>
      </c>
      <c r="G143" s="17">
        <f t="shared" si="8"/>
        <v>51</v>
      </c>
      <c r="H143" s="18">
        <v>3000</v>
      </c>
      <c r="I143" s="19">
        <f t="shared" si="10"/>
        <v>72000</v>
      </c>
      <c r="J143" s="19">
        <f t="shared" si="9"/>
        <v>153000</v>
      </c>
      <c r="K143" s="19">
        <f t="shared" si="11"/>
        <v>228000</v>
      </c>
      <c r="L143" s="20"/>
      <c r="M143" s="37" t="s">
        <v>389</v>
      </c>
    </row>
    <row r="144" spans="1:13" s="6" customFormat="1" ht="18" customHeight="1" x14ac:dyDescent="0.25">
      <c r="A144" s="13" t="s">
        <v>286</v>
      </c>
      <c r="B144" s="14" t="s">
        <v>287</v>
      </c>
      <c r="C144" s="17">
        <v>1775</v>
      </c>
      <c r="D144" s="17">
        <v>1786</v>
      </c>
      <c r="E144" s="16">
        <f t="shared" ref="E144:E152" si="12">D144-C144</f>
        <v>11</v>
      </c>
      <c r="F144" s="17">
        <v>11</v>
      </c>
      <c r="G144" s="17">
        <f t="shared" si="8"/>
        <v>0</v>
      </c>
      <c r="H144" s="18">
        <v>3000</v>
      </c>
      <c r="I144" s="19">
        <f t="shared" si="10"/>
        <v>19800</v>
      </c>
      <c r="J144" s="19">
        <f t="shared" si="9"/>
        <v>0</v>
      </c>
      <c r="K144" s="19">
        <f t="shared" si="11"/>
        <v>22800</v>
      </c>
      <c r="L144" s="20"/>
      <c r="M144" s="37" t="s">
        <v>373</v>
      </c>
    </row>
    <row r="145" spans="1:13" s="6" customFormat="1" ht="18" customHeight="1" x14ac:dyDescent="0.25">
      <c r="A145" s="13" t="s">
        <v>288</v>
      </c>
      <c r="B145" s="14" t="s">
        <v>289</v>
      </c>
      <c r="C145" s="22">
        <v>2104</v>
      </c>
      <c r="D145" s="22">
        <v>2111</v>
      </c>
      <c r="E145" s="16">
        <f t="shared" si="12"/>
        <v>7</v>
      </c>
      <c r="F145" s="17">
        <v>7</v>
      </c>
      <c r="G145" s="17">
        <f t="shared" ref="G145:G152" si="13">(E145-F145)</f>
        <v>0</v>
      </c>
      <c r="H145" s="18">
        <v>3000</v>
      </c>
      <c r="I145" s="19">
        <f t="shared" si="10"/>
        <v>12600</v>
      </c>
      <c r="J145" s="19">
        <f t="shared" ref="J145:J152" si="14">G145*3000</f>
        <v>0</v>
      </c>
      <c r="K145" s="19">
        <f t="shared" si="11"/>
        <v>15600</v>
      </c>
      <c r="L145" s="20"/>
      <c r="M145" s="37" t="s">
        <v>375</v>
      </c>
    </row>
    <row r="146" spans="1:13" s="6" customFormat="1" ht="18" customHeight="1" x14ac:dyDescent="0.25">
      <c r="A146" s="13" t="s">
        <v>290</v>
      </c>
      <c r="B146" s="14" t="s">
        <v>291</v>
      </c>
      <c r="C146" s="17">
        <v>2950</v>
      </c>
      <c r="D146" s="17">
        <v>2974</v>
      </c>
      <c r="E146" s="16">
        <f t="shared" si="12"/>
        <v>24</v>
      </c>
      <c r="F146" s="17">
        <v>24</v>
      </c>
      <c r="G146" s="17">
        <f t="shared" si="13"/>
        <v>0</v>
      </c>
      <c r="H146" s="18">
        <v>3000</v>
      </c>
      <c r="I146" s="19">
        <f t="shared" si="10"/>
        <v>43200</v>
      </c>
      <c r="J146" s="19">
        <f t="shared" si="14"/>
        <v>0</v>
      </c>
      <c r="K146" s="19">
        <f t="shared" si="11"/>
        <v>46200</v>
      </c>
      <c r="L146" s="20"/>
      <c r="M146" s="37" t="s">
        <v>374</v>
      </c>
    </row>
    <row r="147" spans="1:13" s="6" customFormat="1" ht="18" customHeight="1" x14ac:dyDescent="0.25">
      <c r="A147" s="13" t="s">
        <v>292</v>
      </c>
      <c r="B147" s="14" t="s">
        <v>210</v>
      </c>
      <c r="C147" s="22">
        <v>5525</v>
      </c>
      <c r="D147" s="22">
        <v>5547</v>
      </c>
      <c r="E147" s="16">
        <f t="shared" si="12"/>
        <v>22</v>
      </c>
      <c r="F147" s="17">
        <v>22</v>
      </c>
      <c r="G147" s="17">
        <f t="shared" si="13"/>
        <v>0</v>
      </c>
      <c r="H147" s="18">
        <v>3000</v>
      </c>
      <c r="I147" s="19">
        <f t="shared" si="10"/>
        <v>39600</v>
      </c>
      <c r="J147" s="19">
        <f t="shared" si="14"/>
        <v>0</v>
      </c>
      <c r="K147" s="19">
        <f t="shared" si="11"/>
        <v>42600</v>
      </c>
      <c r="L147" s="20"/>
      <c r="M147" s="37" t="s">
        <v>388</v>
      </c>
    </row>
    <row r="148" spans="1:13" s="6" customFormat="1" ht="18" customHeight="1" x14ac:dyDescent="0.25">
      <c r="A148" s="13" t="s">
        <v>293</v>
      </c>
      <c r="B148" s="14" t="s">
        <v>294</v>
      </c>
      <c r="C148" s="17">
        <v>190</v>
      </c>
      <c r="D148" s="17">
        <v>234</v>
      </c>
      <c r="E148" s="16">
        <f t="shared" si="12"/>
        <v>44</v>
      </c>
      <c r="F148" s="17">
        <v>40</v>
      </c>
      <c r="G148" s="17">
        <f t="shared" si="13"/>
        <v>4</v>
      </c>
      <c r="H148" s="18">
        <v>3000</v>
      </c>
      <c r="I148" s="19">
        <f t="shared" si="10"/>
        <v>72000</v>
      </c>
      <c r="J148" s="19">
        <f t="shared" si="14"/>
        <v>12000</v>
      </c>
      <c r="K148" s="19">
        <f t="shared" si="11"/>
        <v>87000</v>
      </c>
      <c r="L148" s="20"/>
      <c r="M148" s="37" t="s">
        <v>376</v>
      </c>
    </row>
    <row r="149" spans="1:13" ht="18" customHeight="1" x14ac:dyDescent="0.25">
      <c r="A149" s="13" t="s">
        <v>295</v>
      </c>
      <c r="B149" s="14" t="s">
        <v>296</v>
      </c>
      <c r="C149" s="17">
        <v>491</v>
      </c>
      <c r="D149" s="17">
        <v>503</v>
      </c>
      <c r="E149" s="16">
        <f t="shared" si="12"/>
        <v>12</v>
      </c>
      <c r="F149" s="17">
        <v>12</v>
      </c>
      <c r="G149" s="17">
        <f t="shared" si="13"/>
        <v>0</v>
      </c>
      <c r="H149" s="18">
        <v>3000</v>
      </c>
      <c r="I149" s="19">
        <f t="shared" si="10"/>
        <v>21600</v>
      </c>
      <c r="J149" s="19">
        <f t="shared" si="14"/>
        <v>0</v>
      </c>
      <c r="K149" s="19">
        <f t="shared" si="11"/>
        <v>24600</v>
      </c>
      <c r="L149" s="20"/>
      <c r="M149" s="37" t="s">
        <v>394</v>
      </c>
    </row>
    <row r="150" spans="1:13" ht="18" customHeight="1" x14ac:dyDescent="0.25">
      <c r="A150" s="13" t="s">
        <v>297</v>
      </c>
      <c r="B150" s="14" t="s">
        <v>298</v>
      </c>
      <c r="C150" s="17">
        <v>2320</v>
      </c>
      <c r="D150" s="17">
        <v>2344</v>
      </c>
      <c r="E150" s="16">
        <f t="shared" si="12"/>
        <v>24</v>
      </c>
      <c r="F150" s="17">
        <v>24</v>
      </c>
      <c r="G150" s="17">
        <f t="shared" si="13"/>
        <v>0</v>
      </c>
      <c r="H150" s="18">
        <v>3000</v>
      </c>
      <c r="I150" s="19">
        <f t="shared" si="10"/>
        <v>43200</v>
      </c>
      <c r="J150" s="19">
        <f t="shared" si="14"/>
        <v>0</v>
      </c>
      <c r="K150" s="19">
        <f t="shared" si="11"/>
        <v>46200</v>
      </c>
      <c r="L150" s="20"/>
      <c r="M150" s="37" t="s">
        <v>396</v>
      </c>
    </row>
    <row r="151" spans="1:13" s="32" customFormat="1" ht="18" customHeight="1" x14ac:dyDescent="0.25">
      <c r="A151" s="25">
        <v>143</v>
      </c>
      <c r="B151" s="14" t="s">
        <v>299</v>
      </c>
      <c r="C151" s="17">
        <v>281</v>
      </c>
      <c r="D151" s="17">
        <v>288</v>
      </c>
      <c r="E151" s="16">
        <f t="shared" si="12"/>
        <v>7</v>
      </c>
      <c r="F151" s="17">
        <v>7</v>
      </c>
      <c r="G151" s="17">
        <f t="shared" si="13"/>
        <v>0</v>
      </c>
      <c r="H151" s="18">
        <v>3000</v>
      </c>
      <c r="I151" s="19">
        <f t="shared" si="10"/>
        <v>12600</v>
      </c>
      <c r="J151" s="19">
        <f t="shared" si="14"/>
        <v>0</v>
      </c>
      <c r="K151" s="19">
        <f t="shared" si="11"/>
        <v>15600</v>
      </c>
      <c r="L151" s="24"/>
      <c r="M151" s="38" t="s">
        <v>392</v>
      </c>
    </row>
    <row r="152" spans="1:13" s="32" customFormat="1" ht="18" customHeight="1" x14ac:dyDescent="0.25">
      <c r="A152" s="25">
        <v>144</v>
      </c>
      <c r="B152" s="14" t="s">
        <v>300</v>
      </c>
      <c r="C152" s="17">
        <v>1268</v>
      </c>
      <c r="D152" s="17">
        <v>1296</v>
      </c>
      <c r="E152" s="16">
        <f t="shared" si="12"/>
        <v>28</v>
      </c>
      <c r="F152" s="17">
        <v>28</v>
      </c>
      <c r="G152" s="17">
        <f t="shared" si="13"/>
        <v>0</v>
      </c>
      <c r="H152" s="18">
        <v>3000</v>
      </c>
      <c r="I152" s="19">
        <f t="shared" si="10"/>
        <v>50400</v>
      </c>
      <c r="J152" s="19">
        <f t="shared" si="14"/>
        <v>0</v>
      </c>
      <c r="K152" s="19">
        <f t="shared" si="11"/>
        <v>53400</v>
      </c>
      <c r="L152" s="24"/>
      <c r="M152" s="38" t="s">
        <v>393</v>
      </c>
    </row>
    <row r="153" spans="1:13" x14ac:dyDescent="0.25">
      <c r="A153" s="33"/>
      <c r="B153" s="26"/>
      <c r="C153" s="26"/>
      <c r="D153" s="26"/>
      <c r="E153" s="31">
        <f ca="1">SUM(E9:E153)</f>
        <v>2557</v>
      </c>
      <c r="F153" s="25"/>
      <c r="G153" s="25"/>
      <c r="H153" s="31">
        <f ca="1">SUM(H9:H153)</f>
        <v>423000</v>
      </c>
      <c r="I153" s="31">
        <f ca="1">SUM(I9:I153)</f>
        <v>4286200</v>
      </c>
      <c r="J153" s="31">
        <f ca="1">SUM(J9:J153)</f>
        <v>468000</v>
      </c>
      <c r="K153" s="34">
        <f ca="1">SUM(K9:K153)</f>
        <v>5177200</v>
      </c>
      <c r="L153" s="26"/>
    </row>
    <row r="156" spans="1:13" x14ac:dyDescent="0.25">
      <c r="F156"/>
      <c r="G156"/>
    </row>
    <row r="157" spans="1:13" x14ac:dyDescent="0.25">
      <c r="K157" s="36"/>
    </row>
  </sheetData>
  <mergeCells count="12">
    <mergeCell ref="L7:L8"/>
    <mergeCell ref="M7:M8"/>
    <mergeCell ref="A1:L1"/>
    <mergeCell ref="A2:L2"/>
    <mergeCell ref="A3:L3"/>
    <mergeCell ref="A5:L5"/>
    <mergeCell ref="A7:A8"/>
    <mergeCell ref="B7:B8"/>
    <mergeCell ref="C7:E7"/>
    <mergeCell ref="F7:G7"/>
    <mergeCell ref="I7:J7"/>
    <mergeCell ref="K7:K8"/>
  </mergeCells>
  <pageMargins left="0.31496062992125984" right="0.11811023622047245" top="0.35433070866141736" bottom="0.35433070866141736" header="0.31496062992125984" footer="0.31496062992125984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Nasekun</dc:creator>
  <cp:lastModifiedBy>Nasekun</cp:lastModifiedBy>
  <dcterms:created xsi:type="dcterms:W3CDTF">2026-01-11T05:36:22Z</dcterms:created>
  <dcterms:modified xsi:type="dcterms:W3CDTF">2026-01-11T08:06:06Z</dcterms:modified>
</cp:coreProperties>
</file>